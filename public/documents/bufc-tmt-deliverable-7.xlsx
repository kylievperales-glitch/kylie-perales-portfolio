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colorstyle+xml" PartName="/xl/charts/colors3.xml"/>
  <Override ContentType="application/vnd.ms-office.chartstyle+xml" PartName="/xl/charts/style1.xml"/>
  <Override ContentType="application/vnd.ms-office.chartstyle+xml" PartName="/xl/charts/style2.xml"/>
  <Override ContentType="application/vnd.ms-office.chartstyle+xml" PartName="/xl/charts/style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3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24226"/>
  <mc:AlternateContent>
    <mc:Choice Requires="x15">
      <x15ac:absPath xmlns:x15ac="http://schemas.microsoft.com/office/spreadsheetml/2010/11/ac" url="/Users/alexpoizdnyk/project/new_PitchBook/PitchBook/Web/src/main/resources/com/pitchbook/platform/web/searchresults/download/publiccomps/processor/"/>
    </mc:Choice>
  </mc:AlternateContent>
  <xr:revisionPtr revIDLastSave="0" documentId="13_ncr:1_{924848C7-2654-DC4F-BD81-B6DB8ADE2410}" xr6:coauthVersionLast="46" xr6:coauthVersionMax="46" xr10:uidLastSave="{00000000-0000-0000-0000-000000000000}"/>
  <bookViews>
    <workbookView xWindow="0" yWindow="460" windowWidth="33600" windowHeight="20540" activeTab="1" xr2:uid="{00000000-000D-0000-FFFF-FFFF00000000}" firstSheet="0"/>
  </bookViews>
  <sheets>
    <sheet name="PB_CACHE" sheetId="30" state="veryHidden" r:id="rId1"/>
    <sheet name="Data" sheetId="34" r:id="rId2"/>
    <sheet name="Charts" sheetId="8" r:id="rId3"/>
    <sheet name="Disclaimer" r:id="rId10" sheetId="35"/>
  </sheets>
  <definedNames>
    <definedName name="_xlnm._FilterDatabase" localSheetId="2" hidden="1">Charts!$C$21:$E$26</definedName>
    <definedName name="CompanyFinancialTickers">Charts!$C$25:$C$28</definedName>
    <definedName name="CompanyFinancialValues">Charts!$E$25:$E$28</definedName>
    <definedName name="CompanyStockPriceChange">Charts!$K$25:$K$275</definedName>
    <definedName name="CompanyTradingMultiples" localSheetId="2">Charts!$S$25:$S$274</definedName>
    <definedName name="CompanyTradingMultiples">Charts!$S$24</definedName>
    <definedName name="CompsSetStockPriceChange">Charts!$M$25:$M$275</definedName>
    <definedName name="CompsSetTradingMultiples" localSheetId="2">Charts!$T$25:$T$274</definedName>
    <definedName name="CompsSetTradingMultiples">Charts!$T$24</definedName>
    <definedName name="CreatedFor" localSheetId="1">Data!$G$6</definedName>
    <definedName name="CreatedFor">#REF!</definedName>
    <definedName name="CreatedForTitle" localSheetId="1">Data!$F$6</definedName>
    <definedName name="CreatedForTitle">#REF!</definedName>
    <definedName name="DateStockPriceChange">Charts!$I$25:$I$275</definedName>
    <definedName name="DateTradingMultiples" localSheetId="2">Charts!$Q$25:$Q$274</definedName>
    <definedName name="IndexStockPriceChange">Charts!$L$25:$L$275</definedName>
  </definedNames>
  <calcPr calcId="191029"/>
</workbook>
</file>

<file path=xl/sharedStrings.xml><?xml version="1.0" encoding="utf-8"?>
<sst xmlns="http://schemas.openxmlformats.org/spreadsheetml/2006/main" count="83" uniqueCount="62">
  <si>
    <t>Search Criteria:</t>
  </si>
  <si>
    <t>Downloaded on:</t>
  </si>
  <si>
    <t xml:space="preserve"> Search Link:</t>
  </si>
  <si>
    <t>Created for:</t>
  </si>
  <si>
    <t>Date</t>
  </si>
  <si>
    <t>Price Change, %</t>
  </si>
  <si>
    <t>Price to Sales</t>
  </si>
  <si>
    <t>Company Ticker</t>
  </si>
  <si>
    <t>H4sIAAAAAAAEAO1VzUrDQBBOm9SmqO+QuyGkf9YeejGKQnuopPQSQrsJg1m6TepmU0gfw6cQX9GD7oRWRaEUrNBDB3Z2E9hvvnzzE6WkKMq7NNzRzsrSPQypCKPrJJkZo3wBqTGgASc8N40x8JQmca9hN2yradmWbRpOxkTGoRdDJjhhpjHMAkbDPuSjZAZxL84YqyC++wk7KWAna1jLBU4JoysSMHBIGMHvNxejZDGAJbDi6YaGQtKQdzWJW12z0p1kviAcuH5P0silKziXJMaEZTAklKeKqqj6c8nNUwFzy0kYgwImte4glgHDzX77lMngIt/gTeuet77lCk7jR9OYp2HCGQ2+JGmhGrvoEXQ6pB22L+vdZgvsq67v66/lLaS+f8O08a9MTO8vKfqRGhlu32Xk+56PBYrVVFOlw1XDGtDwdIi5xaaqIsOCNC715ZjtHbOtvcnRdJRrV7mwNdQZ5JUlSlLS+nskjNgnJ+iciHCR1qryXEG3zyjq1nEu2/0w53d5/fcsZhLa6Qed8505WQcAAA==</t>
  </si>
  <si>
    <t xml:space="preserve"> </t>
  </si>
  <si>
    <t>Public Company</t>
  </si>
  <si>
    <t>Cinemark Theatres Public Comps</t>
  </si>
  <si>
    <t xml:space="preserve">Excluded Companies: 10; Market Cap: Min: 1B; Max: 12B; Location: United States; Industries: Consumer Products and Services (B2C) &gt; Media &gt; Movies, Music and Entertainment; </t>
  </si>
  <si>
    <t/>
  </si>
  <si>
    <t>11/20/2024</t>
  </si>
  <si>
    <t>Kylie Perales, Boston University - Questrom School of Business (Students)</t>
  </si>
  <si>
    <t>Company ID</t>
  </si>
  <si>
    <t>Companies</t>
  </si>
  <si>
    <t>Revenue % Growth (FY)</t>
  </si>
  <si>
    <t>Revenue % Growth (TTM)</t>
  </si>
  <si>
    <t>EBIT Margin (TTM)</t>
  </si>
  <si>
    <t>EBIT (Earnings Before Interest and Tax) (FQ)</t>
  </si>
  <si>
    <t>EBIT (Earnings Before Interest and Tax) (FY)</t>
  </si>
  <si>
    <t>EBIT (Earnings Before Interest and Tax) (TTM)</t>
  </si>
  <si>
    <t>Net Income (Normalized) (TTM)</t>
  </si>
  <si>
    <t>EBITDA Margin (FQ)</t>
  </si>
  <si>
    <t>EBITDA Margin (FY)</t>
  </si>
  <si>
    <t>EBITDA Margin (TTM)</t>
  </si>
  <si>
    <t>ROIC (Return on Invested Capital) (FY)</t>
  </si>
  <si>
    <t>ROIC (Return on Invested Capital) (TTM)</t>
  </si>
  <si>
    <t>Stock Price</t>
  </si>
  <si>
    <t>Market Cap</t>
  </si>
  <si>
    <t>Enterprise Value (Daily)</t>
  </si>
  <si>
    <t>EBITDA (Earnings Before Interest, Tax, Depreciation, &amp; Amortization) (TTM)</t>
  </si>
  <si>
    <t>Total Revenue (TTM)</t>
  </si>
  <si>
    <t>EV(Daily)/EBITDA</t>
  </si>
  <si>
    <t>PitchBook Link</t>
  </si>
  <si>
    <t>Value, Billions</t>
  </si>
  <si>
    <t>AMC</t>
  </si>
  <si>
    <t>CNK</t>
  </si>
  <si>
    <t>SPHR</t>
  </si>
  <si>
    <t>BATRA</t>
  </si>
  <si>
    <t>Price / Sales</t>
  </si>
  <si>
    <t>Cinemark Theatres</t>
  </si>
  <si>
    <t>Comps Set</t>
  </si>
  <si>
    <t>Relative % Stock Price Change</t>
  </si>
  <si>
    <t>S&amp;P 500</t>
  </si>
  <si>
    <t>© PitchBook Data, Inc. 2024</t>
  </si>
  <si>
    <t>All data copyright PitchBook Data, Inc.</t>
  </si>
  <si>
    <t>For customized data reports and analyses, contact us at:</t>
  </si>
  <si>
    <t>support@pitchbook.com</t>
  </si>
  <si>
    <t xml:space="preserve">This document and its contents may only be used or shared as permitted in </t>
  </si>
  <si>
    <t>the PitchBook subscription agreement.</t>
  </si>
  <si>
    <t>Subject to limited exceptions, this document may not be used or stored following the termination of your agreement with PitchBook.</t>
  </si>
  <si>
    <t>If you have any further questions or concerns, please contact client services at:</t>
  </si>
  <si>
    <t>US</t>
  </si>
  <si>
    <t>+1 (206) 257-7775</t>
  </si>
  <si>
    <t>UK</t>
  </si>
  <si>
    <t>+44 (0)203 875 3504</t>
  </si>
  <si>
    <t>SG</t>
  </si>
  <si>
    <t>+65 6016 4771</t>
  </si>
  <si>
    <t>Or by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</si>
</sst>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&quot;%&quot;;[red]-#,##0.00&quot;%&quot;"/>
    <numFmt numFmtId="165" formatCode="#,##0.00x;[red]-#,##0.00x"/>
    <numFmt numFmtId="166" formatCode="dd-MMM-yyyy"/>
  </numFmts>
  <fonts count="12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indexed="8"/>
      <name val="Arial"/>
      <family val="2"/>
    </font>
    <font>
      <sz val="8"/>
      <color indexed="8"/>
      <name val="Arial"/>
      <family val="2"/>
      <charset val="204"/>
    </font>
    <font>
      <b/>
      <sz val="16"/>
      <color indexed="8"/>
      <name val="Arial"/>
      <family val="2"/>
    </font>
    <font>
      <sz val="8"/>
      <color theme="1"/>
      <name val="Arial"/>
      <family val="2"/>
    </font>
    <font>
      <b/>
      <sz val="8"/>
      <color indexed="9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8"/>
      <color rgb="FF800001"/>
      <name val="Arial"/>
      <family val="2"/>
    </font>
    <font>
      <name val="Arial"/>
      <sz val="8.0"/>
      <color indexed="9"/>
      <b val="true"/>
    </font>
    <font>
      <name val="Arial"/>
      <sz val="8.0"/>
      <color indexed="9"/>
      <b val="true"/>
    </font>
    <font>
      <name val="Arial"/>
      <sz val="8.0"/>
      <color indexed="9"/>
      <b val="true"/>
    </font>
    <font>
      <name val="Arial"/>
      <sz val="8.0"/>
      <color indexed="9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Calibri"/>
      <sz val="8.0"/>
      <color rgb="0000FF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 xmlns:main="http://schemas.openxmlformats.org/spreadsheetml/2006/main">
      <main:b/>
      <main:sz val="14"/>
      <main:color indexed="8"/>
      <main:name val="Arial"/>
      <main:family val="2"/>
    </font>
    <font xmlns:main="http://schemas.openxmlformats.org/spreadsheetml/2006/main">
      <main:i/>
      <main:sz val="10"/>
      <main:color indexed="8"/>
      <main:name val="Arial"/>
      <main:family val="2"/>
      <main:charset val="204"/>
    </font>
    <font xmlns:main="http://schemas.openxmlformats.org/spreadsheetml/2006/main">
      <main:i/>
      <main:sz val="10"/>
      <main:color theme="10"/>
      <main:name val="Arial"/>
      <main:family val="2"/>
    </font>
    <font xmlns:main="http://schemas.openxmlformats.org/spreadsheetml/2006/main">
      <main:i/>
      <main:sz val="10"/>
      <main:name val="Arial"/>
      <main:family val="2"/>
      <main:charset val="204"/>
    </font>
    <font xmlns:main="http://schemas.openxmlformats.org/spreadsheetml/2006/main">
      <main:i/>
      <main:sz val="10"/>
      <main:color rgb="FF4F81BD"/>
      <main:name val="Arial"/>
      <main:family val="2"/>
      <main:charset val="204"/>
    </font>
    <font xmlns:main="http://schemas.openxmlformats.org/spreadsheetml/2006/main">
      <main:i/>
      <main:sz val="10"/>
      <main:name val="Arial"/>
      <main:family val="2"/>
      <main:charset val="204"/>
    </font>
    <font xmlns:main="http://schemas.openxmlformats.org/spreadsheetml/2006/main">
      <main:i/>
      <main:sz val="10"/>
      <main:name val="Arial"/>
      <main:family val="2"/>
      <main:charset val="204"/>
    </font>
    <font xmlns:main="http://schemas.openxmlformats.org/spreadsheetml/2006/main">
      <main:i/>
      <main:sz val="10"/>
      <main:color theme="1"/>
      <main:name val="Arial"/>
      <main:family val="2"/>
    </font>
    <font xmlns:main="http://schemas.openxmlformats.org/spreadsheetml/2006/main">
      <main:i/>
      <main:sz val="10"/>
      <main:color theme="1"/>
      <main:name val="Arial"/>
      <main:family val="2"/>
    </font>
    <font xmlns:main="http://schemas.openxmlformats.org/spreadsheetml/2006/main">
      <main:i/>
      <main:sz val="10"/>
      <main:color theme="1"/>
      <main:name val="Arial"/>
      <main:family val="2"/>
    </font>
    <font xmlns:main="http://schemas.openxmlformats.org/spreadsheetml/2006/main">
      <main:i/>
      <main:sz val="10"/>
      <main:color theme="1"/>
      <main:name val="Arial"/>
      <main:family val="2"/>
    </font>
    <font xmlns:main="http://schemas.openxmlformats.org/spreadsheetml/2006/main">
      <main:i/>
      <main:sz val="10"/>
      <main:color theme="1"/>
      <main:name val="Arial"/>
      <main:family val="2"/>
    </font>
    <font xmlns:main="http://schemas.openxmlformats.org/spreadsheetml/2006/main">
      <main:i/>
      <main:sz val="10"/>
      <main:color theme="1"/>
      <main:name val="Arial"/>
      <main:family val="2"/>
    </font>
    <font xmlns:main="http://schemas.openxmlformats.org/spreadsheetml/2006/main">
      <main:i/>
      <main:sz val="10"/>
      <main:color theme="1"/>
      <main:name val="Arial"/>
      <main:family val="2"/>
    </font>
    <font xmlns:main="http://schemas.openxmlformats.org/spreadsheetml/2006/main">
      <main:i/>
      <main:sz val="10"/>
      <main:color rgb="FF0015FF"/>
      <main:name val="Arial"/>
      <main:family val="2"/>
    </font>
    <font xmlns:main="http://schemas.openxmlformats.org/spreadsheetml/2006/main">
      <main:i/>
      <main:sz val="10"/>
      <main:color rgb="FF4F81BD"/>
      <main:name val="Arial"/>
      <main:family val="2"/>
      <main:charset val="204"/>
    </font>
    <font xmlns:main="http://schemas.openxmlformats.org/spreadsheetml/2006/main">
      <main:i/>
      <main:sz val="10"/>
      <main:color theme="10"/>
      <main:name val="Arial"/>
      <main:family val="2"/>
    </font>
    <font xmlns:main="http://schemas.openxmlformats.org/spreadsheetml/2006/main">
      <main:i/>
      <main:sz val="10"/>
      <main:color rgb="FF0015FF"/>
      <main:name val="Arial"/>
      <main:family val="2"/>
    </font>
    <font>
      <name val="Arial"/>
      <sz val="8.0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4F81BD"/>
      </patternFill>
    </fill>
    <fill>
      <patternFill patternType="solid">
        <fgColor rgb="FFEEF3F8"/>
      </patternFill>
    </fill>
    <fill>
      <patternFill patternType="solid">
        <fgColor rgb="FFFFFFFF"/>
      </patternFill>
    </fill>
    <fill>
      <patternFill patternType="none">
        <fgColor rgb="4F81BD"/>
      </patternFill>
    </fill>
    <fill>
      <patternFill patternType="none">
        <fgColor rgb="EEF3F8"/>
      </patternFill>
    </fill>
    <fill>
      <patternFill patternType="none">
        <fgColor rgb="FFFFFF"/>
      </patternFill>
    </fill>
    <fill>
      <patternFill patternType="solid">
        <fgColor rgb="FFFFFF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3"/>
      </left>
      <right style="dotted">
        <color indexed="63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dotted">
        <color indexed="63"/>
      </right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dotted"/>
    </border>
    <border>
      <right style="dotted">
        <color rgb="969696"/>
      </right>
    </border>
    <border>
      <left style="dotted"/>
    </border>
    <border>
      <left style="dotted">
        <color indexed="63"/>
      </left>
    </border>
    <border>
      <left style="dotted">
        <color indexed="63"/>
      </left>
      <right style="dotted"/>
    </border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</borders>
  <cellStyleXfs count="2">
    <xf numFmtId="0" fontId="0" fillId="0" borderId="0"/>
    <xf numFmtId="0" fontId="1" fillId="0" borderId="0"/>
  </cellStyleXfs>
  <cellXfs count="189">
    <xf numFmtId="0" fontId="0" fillId="0" borderId="0" xfId="0"/>
    <xf numFmtId="0" fontId="2" fillId="0" borderId="0" xfId="0" applyFont="1" applyAlignment="1">
      <alignment horizontal="right" vertical="top"/>
    </xf>
    <xf numFmtId="0" fontId="6" fillId="0" borderId="0" xfId="0" applyFont="1" applyAlignment="1">
      <alignment horizontal="right"/>
    </xf>
    <xf numFmtId="0" fontId="7" fillId="0" borderId="2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14" fontId="7" fillId="3" borderId="7" xfId="0" applyNumberFormat="1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2" fontId="0" fillId="0" borderId="0" xfId="0" applyNumberFormat="1"/>
    <xf numFmtId="0" fontId="0" fillId="0" borderId="0" xfId="0"/>
    <xf numFmtId="0" fontId="6" fillId="0" borderId="0" xfId="0" applyFont="1"/>
    <xf numFmtId="0" fontId="7" fillId="3" borderId="9" xfId="0" applyFont="1" applyFill="1" applyBorder="1" applyAlignment="1">
      <alignment vertical="center" wrapText="1"/>
    </xf>
    <xf numFmtId="0" fontId="7" fillId="3" borderId="10" xfId="0" applyFont="1" applyFill="1" applyBorder="1" applyAlignment="1">
      <alignment vertical="center" wrapText="1"/>
    </xf>
    <xf numFmtId="0" fontId="7" fillId="3" borderId="8" xfId="0" applyFont="1" applyFill="1" applyBorder="1" applyAlignment="1">
      <alignment vertical="center" wrapText="1"/>
    </xf>
    <xf numFmtId="0" fontId="5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Font="1"/>
    <xf numFmtId="0" fontId="0" fillId="0" borderId="0" xfId="0"/>
    <xf numFmtId="0" fontId="8" fillId="4" borderId="0" xfId="0" applyFont="1" applyFill="1" applyBorder="1" applyAlignment="1">
      <alignment vertical="center"/>
    </xf>
    <xf numFmtId="0" fontId="8" fillId="5" borderId="12" xfId="0" applyFont="1" applyFill="1" applyBorder="1" applyAlignment="1">
      <alignment vertical="center"/>
    </xf>
    <xf numFmtId="0" fontId="9" fillId="0" borderId="11" xfId="0" applyFont="1" applyBorder="1"/>
    <xf numFmtId="0" fontId="9" fillId="0" borderId="26" xfId="0" applyFont="1" applyBorder="1"/>
    <xf numFmtId="0" fontId="9" fillId="0" borderId="21" xfId="0" applyFont="1" applyBorder="1"/>
    <xf numFmtId="0" fontId="9" fillId="0" borderId="12" xfId="0" applyFont="1" applyBorder="1" applyAlignment="1"/>
    <xf numFmtId="0" fontId="9" fillId="0" borderId="12" xfId="0" applyFont="1" applyBorder="1"/>
    <xf numFmtId="0" fontId="9" fillId="0" borderId="13" xfId="0" applyFont="1" applyBorder="1"/>
    <xf numFmtId="0" fontId="9" fillId="0" borderId="27" xfId="0" applyFont="1" applyBorder="1"/>
    <xf numFmtId="0" fontId="9" fillId="0" borderId="23" xfId="0" applyFont="1" applyBorder="1"/>
    <xf numFmtId="0" fontId="9" fillId="0" borderId="22" xfId="0" applyFont="1" applyBorder="1" applyAlignment="1"/>
    <xf numFmtId="0" fontId="9" fillId="0" borderId="14" xfId="0" applyFont="1" applyBorder="1"/>
    <xf numFmtId="0" fontId="9" fillId="0" borderId="19" xfId="0" applyFont="1" applyBorder="1"/>
    <xf numFmtId="0" fontId="9" fillId="0" borderId="15" xfId="0" applyFont="1" applyBorder="1"/>
    <xf numFmtId="0" fontId="9" fillId="0" borderId="20" xfId="0" applyFont="1" applyBorder="1"/>
    <xf numFmtId="0" fontId="9" fillId="0" borderId="0" xfId="0" applyFont="1" applyBorder="1"/>
    <xf numFmtId="0" fontId="9" fillId="0" borderId="22" xfId="0" applyFont="1" applyBorder="1"/>
    <xf numFmtId="0" fontId="9" fillId="0" borderId="0" xfId="0" applyFont="1"/>
    <xf numFmtId="2" fontId="9" fillId="0" borderId="0" xfId="0" applyNumberFormat="1" applyFont="1"/>
    <xf numFmtId="0" fontId="9" fillId="0" borderId="0" xfId="0" applyFont="1" applyBorder="1" applyAlignment="1"/>
    <xf numFmtId="14" fontId="8" fillId="4" borderId="0" xfId="0" applyNumberFormat="1" applyFont="1" applyFill="1" applyBorder="1" applyAlignment="1">
      <alignment vertical="center"/>
    </xf>
    <xf numFmtId="14" fontId="8" fillId="4" borderId="0" xfId="0" applyNumberFormat="1" applyFont="1" applyFill="1" applyBorder="1" applyAlignment="1">
      <alignment horizontal="left"/>
    </xf>
    <xf numFmtId="2" fontId="8" fillId="4" borderId="18" xfId="0" applyNumberFormat="1" applyFont="1" applyFill="1" applyBorder="1" applyAlignment="1">
      <alignment horizontal="right"/>
    </xf>
    <xf numFmtId="0" fontId="9" fillId="0" borderId="2" xfId="0" applyFont="1" applyBorder="1"/>
    <xf numFmtId="0" fontId="9" fillId="0" borderId="3" xfId="0" applyFont="1" applyBorder="1"/>
    <xf numFmtId="0" fontId="9" fillId="0" borderId="24" xfId="0" applyFont="1" applyBorder="1"/>
    <xf numFmtId="0" fontId="9" fillId="0" borderId="25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28" xfId="0" applyFont="1" applyBorder="1"/>
    <xf numFmtId="0" fontId="9" fillId="0" borderId="6" xfId="0" applyFont="1" applyBorder="1"/>
    <xf numFmtId="0" fontId="9" fillId="0" borderId="16" xfId="0" applyFont="1" applyBorder="1"/>
    <xf numFmtId="0" fontId="9" fillId="0" borderId="1" xfId="0" applyFont="1" applyBorder="1"/>
    <xf numFmtId="0" fontId="9" fillId="0" borderId="17" xfId="0" applyFont="1" applyBorder="1"/>
    <xf numFmtId="0" fontId="7" fillId="3" borderId="7" xfId="0" applyFont="1" applyFill="1" applyBorder="1" applyAlignment="1">
      <alignment horizontal="center" vertical="center" wrapText="1"/>
    </xf>
    <xf numFmtId="10" fontId="8" fillId="4" borderId="18" xfId="0" applyNumberFormat="1" applyFont="1" applyFill="1" applyBorder="1" applyAlignment="1">
      <alignment horizontal="right"/>
    </xf>
    <xf numFmtId="0" fontId="8" fillId="4" borderId="29" xfId="0" applyFont="1" applyFill="1" applyBorder="1" applyAlignment="1">
      <alignment vertical="center"/>
    </xf>
    <xf numFmtId="0" fontId="5" fillId="0" borderId="0" xfId="0" applyFont="1" applyFill="1" applyAlignment="1">
      <alignment horizontal="left"/>
    </xf>
    <xf numFmtId="0" fontId="6" fillId="0" borderId="0" xfId="0" applyFont="1" applyAlignment="1">
      <alignment horizontal="right" vertical="top"/>
    </xf>
    <xf numFmtId="0" fontId="3" fillId="2" borderId="0" xfId="0" applyFont="1" applyFill="1" applyAlignment="1">
      <alignment horizontal="left"/>
    </xf>
    <xf numFmtId="0" fontId="1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1" fillId="2" borderId="0" xfId="0" applyFont="1" applyFill="1" applyAlignment="1">
      <alignment horizontal="left" vertical="top" wrapText="true"/>
    </xf>
    <xf numFmtId="0" fontId="7" fillId="3" borderId="8" xfId="0" applyFont="1" applyFill="1" applyBorder="1" applyAlignment="1">
      <alignment horizontal="left" vertical="center" wrapText="1" indent="1"/>
    </xf>
    <xf numFmtId="0" fontId="7" fillId="3" borderId="9" xfId="0" applyFont="1" applyFill="1" applyBorder="1" applyAlignment="1">
      <alignment horizontal="left" vertical="center" wrapText="1" indent="1"/>
    </xf>
    <xf numFmtId="0" fontId="7" fillId="3" borderId="10" xfId="0" applyFont="1" applyFill="1" applyBorder="1" applyAlignment="1">
      <alignment horizontal="left" vertical="center" wrapText="1" inden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top" wrapText="true"/>
    </xf>
    <xf numFmtId="0" fontId="12" fillId="3" borderId="31" xfId="0" applyFill="true" applyFont="true" applyBorder="true">
      <alignment horizontal="center" vertical="center" wrapText="true"/>
    </xf>
    <xf numFmtId="0" fontId="13" fillId="3" borderId="33" xfId="0" applyFill="true" applyFont="true" applyBorder="true">
      <alignment horizontal="center" vertical="center" wrapText="true"/>
    </xf>
    <xf numFmtId="0" fontId="14" fillId="3" borderId="31" xfId="0" applyFill="true" applyFont="true" applyBorder="true">
      <alignment horizontal="center" vertical="center" wrapText="true"/>
    </xf>
    <xf numFmtId="0" fontId="15" fillId="3" borderId="33" xfId="0" applyFill="true" applyFont="true" applyBorder="true">
      <alignment horizontal="center" vertical="center" wrapText="true"/>
    </xf>
    <xf numFmtId="0" fontId="0" fillId="0" borderId="31" xfId="0" applyBorder="true"/>
    <xf numFmtId="0" fontId="16" fillId="0" borderId="0" xfId="0" applyFont="true">
      <alignment horizontal="general" vertical="bottom"/>
    </xf>
    <xf numFmtId="0" fontId="17" fillId="4" borderId="35" xfId="0" applyFill="true" applyFont="true" applyBorder="true">
      <alignment horizontal="general" vertical="top" indent="1" wrapText="false"/>
    </xf>
    <xf numFmtId="0" fontId="18" fillId="4" borderId="35" xfId="0" applyFill="true" applyFont="true" applyBorder="true">
      <alignment horizontal="left" vertical="top" indent="1" wrapText="false"/>
    </xf>
    <xf numFmtId="164" fontId="19" fillId="4" borderId="35" xfId="0" applyFill="true" applyFont="true" applyBorder="true" applyNumberFormat="true">
      <alignment horizontal="right" vertical="top" indent="1" wrapText="false"/>
    </xf>
    <xf numFmtId="164" fontId="20" fillId="4" borderId="35" xfId="0" applyFill="true" applyFont="true" applyBorder="true" applyNumberFormat="true">
      <alignment horizontal="right" vertical="top" indent="1" wrapText="false"/>
    </xf>
    <xf numFmtId="164" fontId="21" fillId="4" borderId="35" xfId="0" applyFill="true" applyFont="true" applyBorder="true" applyNumberFormat="true">
      <alignment horizontal="right" vertical="top" indent="1" wrapText="false"/>
    </xf>
    <xf numFmtId="0" fontId="22" fillId="4" borderId="35" xfId="0" applyFill="true" applyFont="true" applyBorder="true">
      <alignment horizontal="right" vertical="top" indent="1" wrapText="false"/>
    </xf>
    <xf numFmtId="0" fontId="23" fillId="4" borderId="35" xfId="0" applyFill="true" applyFont="true" applyBorder="true">
      <alignment horizontal="right" vertical="top" indent="1" wrapText="false"/>
    </xf>
    <xf numFmtId="0" fontId="24" fillId="4" borderId="35" xfId="0" applyFill="true" applyFont="true" applyBorder="true">
      <alignment horizontal="right" vertical="top" indent="1" wrapText="false"/>
    </xf>
    <xf numFmtId="0" fontId="25" fillId="4" borderId="35" xfId="0" applyFill="true" applyFont="true" applyBorder="true">
      <alignment horizontal="right" vertical="top" indent="1" wrapText="false"/>
    </xf>
    <xf numFmtId="164" fontId="26" fillId="4" borderId="35" xfId="0" applyFill="true" applyFont="true" applyBorder="true" applyNumberFormat="true">
      <alignment horizontal="right" vertical="top" indent="1" wrapText="false"/>
    </xf>
    <xf numFmtId="164" fontId="27" fillId="4" borderId="35" xfId="0" applyFill="true" applyFont="true" applyBorder="true" applyNumberFormat="true">
      <alignment horizontal="right" vertical="top" indent="1" wrapText="false"/>
    </xf>
    <xf numFmtId="164" fontId="28" fillId="4" borderId="35" xfId="0" applyFill="true" applyFont="true" applyBorder="true" applyNumberFormat="true">
      <alignment horizontal="right" vertical="top" indent="1" wrapText="false"/>
    </xf>
    <xf numFmtId="164" fontId="29" fillId="4" borderId="35" xfId="0" applyFill="true" applyFont="true" applyBorder="true" applyNumberFormat="true">
      <alignment horizontal="right" vertical="top" indent="1" wrapText="false"/>
    </xf>
    <xf numFmtId="164" fontId="30" fillId="4" borderId="35" xfId="0" applyFill="true" applyFont="true" applyBorder="true" applyNumberFormat="true">
      <alignment horizontal="right" vertical="top" indent="1" wrapText="false"/>
    </xf>
    <xf numFmtId="0" fontId="31" fillId="4" borderId="35" xfId="0" applyFill="true" applyFont="true" applyBorder="true">
      <alignment horizontal="right" vertical="top" indent="1" wrapText="false"/>
    </xf>
    <xf numFmtId="0" fontId="32" fillId="4" borderId="35" xfId="0" applyFill="true" applyFont="true" applyBorder="true">
      <alignment horizontal="right" vertical="top" indent="1" wrapText="false"/>
    </xf>
    <xf numFmtId="0" fontId="33" fillId="4" borderId="35" xfId="0" applyFill="true" applyFont="true" applyBorder="true">
      <alignment horizontal="right" vertical="top" indent="1" wrapText="false"/>
    </xf>
    <xf numFmtId="0" fontId="34" fillId="4" borderId="35" xfId="0" applyFill="true" applyFont="true" applyBorder="true">
      <alignment horizontal="right" vertical="top" indent="1" wrapText="false"/>
    </xf>
    <xf numFmtId="0" fontId="35" fillId="4" borderId="35" xfId="0" applyFill="true" applyFont="true" applyBorder="true">
      <alignment horizontal="right" vertical="top" indent="1" wrapText="false"/>
    </xf>
    <xf numFmtId="165" fontId="36" fillId="4" borderId="35" xfId="0" applyFill="true" applyFont="true" applyBorder="true" applyNumberFormat="true">
      <alignment horizontal="right" vertical="top" indent="1" wrapText="false"/>
    </xf>
    <xf numFmtId="0" fontId="37" fillId="4" borderId="35" xfId="0" applyFill="true" applyFont="true" applyBorder="true">
      <alignment horizontal="general" vertical="top" indent="1" wrapText="false"/>
    </xf>
    <xf numFmtId="0" fontId="38" fillId="5" borderId="35" xfId="0" applyFill="true" applyFont="true" applyBorder="true">
      <alignment horizontal="general" vertical="top" indent="1" wrapText="false"/>
    </xf>
    <xf numFmtId="0" fontId="39" fillId="5" borderId="35" xfId="0" applyFill="true" applyFont="true" applyBorder="true">
      <alignment horizontal="left" vertical="top" indent="1" wrapText="false"/>
    </xf>
    <xf numFmtId="164" fontId="40" fillId="5" borderId="35" xfId="0" applyFill="true" applyFont="true" applyBorder="true" applyNumberFormat="true">
      <alignment horizontal="right" vertical="top" indent="1" wrapText="false"/>
    </xf>
    <xf numFmtId="164" fontId="41" fillId="5" borderId="35" xfId="0" applyFill="true" applyFont="true" applyBorder="true" applyNumberFormat="true">
      <alignment horizontal="right" vertical="top" indent="1" wrapText="false"/>
    </xf>
    <xf numFmtId="164" fontId="42" fillId="5" borderId="35" xfId="0" applyFill="true" applyFont="true" applyBorder="true" applyNumberFormat="true">
      <alignment horizontal="right" vertical="top" indent="1" wrapText="false"/>
    </xf>
    <xf numFmtId="0" fontId="43" fillId="5" borderId="35" xfId="0" applyFill="true" applyFont="true" applyBorder="true">
      <alignment horizontal="right" vertical="top" indent="1" wrapText="false"/>
    </xf>
    <xf numFmtId="0" fontId="44" fillId="5" borderId="35" xfId="0" applyFill="true" applyFont="true" applyBorder="true">
      <alignment horizontal="right" vertical="top" indent="1" wrapText="false"/>
    </xf>
    <xf numFmtId="0" fontId="45" fillId="5" borderId="35" xfId="0" applyFill="true" applyFont="true" applyBorder="true">
      <alignment horizontal="right" vertical="top" indent="1" wrapText="false"/>
    </xf>
    <xf numFmtId="0" fontId="46" fillId="5" borderId="35" xfId="0" applyFill="true" applyFont="true" applyBorder="true">
      <alignment horizontal="right" vertical="top" indent="1" wrapText="false"/>
    </xf>
    <xf numFmtId="164" fontId="47" fillId="5" borderId="35" xfId="0" applyFill="true" applyFont="true" applyBorder="true" applyNumberFormat="true">
      <alignment horizontal="right" vertical="top" indent="1" wrapText="false"/>
    </xf>
    <xf numFmtId="164" fontId="48" fillId="5" borderId="35" xfId="0" applyFill="true" applyFont="true" applyBorder="true" applyNumberFormat="true">
      <alignment horizontal="right" vertical="top" indent="1" wrapText="false"/>
    </xf>
    <xf numFmtId="164" fontId="49" fillId="5" borderId="35" xfId="0" applyFill="true" applyFont="true" applyBorder="true" applyNumberFormat="true">
      <alignment horizontal="right" vertical="top" indent="1" wrapText="false"/>
    </xf>
    <xf numFmtId="164" fontId="50" fillId="5" borderId="35" xfId="0" applyFill="true" applyFont="true" applyBorder="true" applyNumberFormat="true">
      <alignment horizontal="right" vertical="top" indent="1" wrapText="false"/>
    </xf>
    <xf numFmtId="164" fontId="51" fillId="5" borderId="35" xfId="0" applyFill="true" applyFont="true" applyBorder="true" applyNumberFormat="true">
      <alignment horizontal="right" vertical="top" indent="1" wrapText="false"/>
    </xf>
    <xf numFmtId="0" fontId="52" fillId="5" borderId="35" xfId="0" applyFill="true" applyFont="true" applyBorder="true">
      <alignment horizontal="right" vertical="top" indent="1" wrapText="false"/>
    </xf>
    <xf numFmtId="0" fontId="53" fillId="5" borderId="35" xfId="0" applyFill="true" applyFont="true" applyBorder="true">
      <alignment horizontal="right" vertical="top" indent="1" wrapText="false"/>
    </xf>
    <xf numFmtId="0" fontId="54" fillId="5" borderId="35" xfId="0" applyFill="true" applyFont="true" applyBorder="true">
      <alignment horizontal="right" vertical="top" indent="1" wrapText="false"/>
    </xf>
    <xf numFmtId="0" fontId="55" fillId="5" borderId="35" xfId="0" applyFill="true" applyFont="true" applyBorder="true">
      <alignment horizontal="right" vertical="top" indent="1" wrapText="false"/>
    </xf>
    <xf numFmtId="0" fontId="56" fillId="5" borderId="35" xfId="0" applyFill="true" applyFont="true" applyBorder="true">
      <alignment horizontal="right" vertical="top" indent="1" wrapText="false"/>
    </xf>
    <xf numFmtId="165" fontId="57" fillId="5" borderId="35" xfId="0" applyFill="true" applyFont="true" applyBorder="true" applyNumberFormat="true">
      <alignment horizontal="right" vertical="top" indent="1" wrapText="false"/>
    </xf>
    <xf numFmtId="0" fontId="58" fillId="5" borderId="35" xfId="0" applyFill="true" applyFont="true" applyBorder="true">
      <alignment horizontal="general" vertical="top" indent="1" wrapText="false"/>
    </xf>
    <xf numFmtId="0" fontId="59" fillId="4" borderId="35" xfId="0" applyFill="true" applyFont="true" applyBorder="true">
      <alignment horizontal="left" vertical="top" indent="1" wrapText="false"/>
    </xf>
    <xf numFmtId="0" fontId="60" fillId="5" borderId="35" xfId="0" applyFill="true" applyFont="true" applyBorder="true">
      <alignment horizontal="left" vertical="top" indent="1" wrapText="false"/>
    </xf>
    <xf numFmtId="0" fontId="61" fillId="4" borderId="35" xfId="0" applyFill="true" applyFont="true" applyBorder="true">
      <alignment horizontal="left" vertical="top" indent="1" wrapText="false"/>
    </xf>
    <xf numFmtId="0" fontId="62" fillId="5" borderId="35" xfId="0" applyFill="true" applyFont="true" applyBorder="true">
      <alignment horizontal="left" vertical="top" indent="1" wrapText="false"/>
    </xf>
    <xf numFmtId="164" fontId="63" fillId="4" borderId="35" xfId="0" applyFill="true" applyFont="true" applyBorder="true" applyNumberFormat="true">
      <alignment horizontal="left" vertical="top" indent="1" wrapText="false"/>
    </xf>
    <xf numFmtId="164" fontId="64" fillId="5" borderId="35" xfId="0" applyFill="true" applyFont="true" applyBorder="true" applyNumberFormat="true">
      <alignment horizontal="left" vertical="top" indent="1" wrapText="false"/>
    </xf>
    <xf numFmtId="164" fontId="65" fillId="4" borderId="35" xfId="0" applyFill="true" applyFont="true" applyBorder="true" applyNumberFormat="true">
      <alignment horizontal="left" vertical="top" indent="1" wrapText="false"/>
    </xf>
    <xf numFmtId="164" fontId="66" fillId="5" borderId="35" xfId="0" applyFill="true" applyFont="true" applyBorder="true" applyNumberFormat="true">
      <alignment horizontal="left" vertical="top" indent="1" wrapText="false"/>
    </xf>
    <xf numFmtId="164" fontId="67" fillId="4" borderId="35" xfId="0" applyFill="true" applyFont="true" applyBorder="true" applyNumberFormat="true">
      <alignment horizontal="left" vertical="top" indent="1" wrapText="false"/>
    </xf>
    <xf numFmtId="164" fontId="68" fillId="5" borderId="35" xfId="0" applyFill="true" applyFont="true" applyBorder="true" applyNumberFormat="true">
      <alignment horizontal="left" vertical="top" indent="1" wrapText="false"/>
    </xf>
    <xf numFmtId="0" fontId="69" fillId="4" borderId="35" xfId="0" applyFill="true" applyFont="true" applyBorder="true">
      <alignment horizontal="left" vertical="top" indent="1" wrapText="false"/>
    </xf>
    <xf numFmtId="0" fontId="70" fillId="5" borderId="35" xfId="0" applyFill="true" applyFont="true" applyBorder="true">
      <alignment horizontal="left" vertical="top" indent="1" wrapText="false"/>
    </xf>
    <xf numFmtId="0" fontId="71" fillId="4" borderId="35" xfId="0" applyFill="true" applyFont="true" applyBorder="true">
      <alignment horizontal="left" vertical="top" indent="1" wrapText="false"/>
    </xf>
    <xf numFmtId="0" fontId="72" fillId="5" borderId="35" xfId="0" applyFill="true" applyFont="true" applyBorder="true">
      <alignment horizontal="left" vertical="top" indent="1" wrapText="false"/>
    </xf>
    <xf numFmtId="0" fontId="73" fillId="4" borderId="35" xfId="0" applyFill="true" applyFont="true" applyBorder="true">
      <alignment horizontal="left" vertical="top" indent="1" wrapText="false"/>
    </xf>
    <xf numFmtId="0" fontId="74" fillId="5" borderId="35" xfId="0" applyFill="true" applyFont="true" applyBorder="true">
      <alignment horizontal="left" vertical="top" indent="1" wrapText="false"/>
    </xf>
    <xf numFmtId="0" fontId="75" fillId="4" borderId="35" xfId="0" applyFill="true" applyFont="true" applyBorder="true">
      <alignment horizontal="left" vertical="top" indent="1" wrapText="false"/>
    </xf>
    <xf numFmtId="0" fontId="76" fillId="5" borderId="35" xfId="0" applyFill="true" applyFont="true" applyBorder="true">
      <alignment horizontal="left" vertical="top" indent="1" wrapText="false"/>
    </xf>
    <xf numFmtId="164" fontId="77" fillId="4" borderId="35" xfId="0" applyFill="true" applyFont="true" applyBorder="true" applyNumberFormat="true">
      <alignment horizontal="left" vertical="top" indent="1" wrapText="false"/>
    </xf>
    <xf numFmtId="164" fontId="78" fillId="5" borderId="35" xfId="0" applyFill="true" applyFont="true" applyBorder="true" applyNumberFormat="true">
      <alignment horizontal="left" vertical="top" indent="1" wrapText="false"/>
    </xf>
    <xf numFmtId="164" fontId="79" fillId="4" borderId="35" xfId="0" applyFill="true" applyFont="true" applyBorder="true" applyNumberFormat="true">
      <alignment horizontal="left" vertical="top" indent="1" wrapText="false"/>
    </xf>
    <xf numFmtId="164" fontId="80" fillId="5" borderId="35" xfId="0" applyFill="true" applyFont="true" applyBorder="true" applyNumberFormat="true">
      <alignment horizontal="left" vertical="top" indent="1" wrapText="false"/>
    </xf>
    <xf numFmtId="164" fontId="81" fillId="4" borderId="35" xfId="0" applyFill="true" applyFont="true" applyBorder="true" applyNumberFormat="true">
      <alignment horizontal="left" vertical="top" indent="1" wrapText="false"/>
    </xf>
    <xf numFmtId="164" fontId="82" fillId="5" borderId="35" xfId="0" applyFill="true" applyFont="true" applyBorder="true" applyNumberFormat="true">
      <alignment horizontal="left" vertical="top" indent="1" wrapText="false"/>
    </xf>
    <xf numFmtId="164" fontId="83" fillId="4" borderId="35" xfId="0" applyFill="true" applyFont="true" applyBorder="true" applyNumberFormat="true">
      <alignment horizontal="left" vertical="top" indent="1" wrapText="false"/>
    </xf>
    <xf numFmtId="164" fontId="84" fillId="5" borderId="35" xfId="0" applyFill="true" applyFont="true" applyBorder="true" applyNumberFormat="true">
      <alignment horizontal="left" vertical="top" indent="1" wrapText="false"/>
    </xf>
    <xf numFmtId="164" fontId="85" fillId="4" borderId="35" xfId="0" applyFill="true" applyFont="true" applyBorder="true" applyNumberFormat="true">
      <alignment horizontal="left" vertical="top" indent="1" wrapText="false"/>
    </xf>
    <xf numFmtId="164" fontId="86" fillId="5" borderId="35" xfId="0" applyFill="true" applyFont="true" applyBorder="true" applyNumberFormat="true">
      <alignment horizontal="left" vertical="top" indent="1" wrapText="false"/>
    </xf>
    <xf numFmtId="0" fontId="87" fillId="4" borderId="35" xfId="0" applyFill="true" applyFont="true" applyBorder="true">
      <alignment horizontal="left" vertical="top" indent="1" wrapText="false"/>
    </xf>
    <xf numFmtId="0" fontId="88" fillId="5" borderId="35" xfId="0" applyFill="true" applyFont="true" applyBorder="true">
      <alignment horizontal="left" vertical="top" indent="1" wrapText="false"/>
    </xf>
    <xf numFmtId="0" fontId="89" fillId="4" borderId="35" xfId="0" applyFill="true" applyFont="true" applyBorder="true">
      <alignment horizontal="left" vertical="top" indent="1" wrapText="false"/>
    </xf>
    <xf numFmtId="0" fontId="90" fillId="5" borderId="35" xfId="0" applyFill="true" applyFont="true" applyBorder="true">
      <alignment horizontal="left" vertical="top" indent="1" wrapText="false"/>
    </xf>
    <xf numFmtId="0" fontId="91" fillId="4" borderId="35" xfId="0" applyFill="true" applyFont="true" applyBorder="true">
      <alignment horizontal="left" vertical="top" indent="1" wrapText="false"/>
    </xf>
    <xf numFmtId="0" fontId="92" fillId="5" borderId="35" xfId="0" applyFill="true" applyFont="true" applyBorder="true">
      <alignment horizontal="left" vertical="top" indent="1" wrapText="false"/>
    </xf>
    <xf numFmtId="0" fontId="93" fillId="4" borderId="35" xfId="0" applyFill="true" applyFont="true" applyBorder="true">
      <alignment horizontal="left" vertical="top" indent="1" wrapText="false"/>
    </xf>
    <xf numFmtId="0" fontId="94" fillId="5" borderId="35" xfId="0" applyFill="true" applyFont="true" applyBorder="true">
      <alignment horizontal="left" vertical="top" indent="1" wrapText="false"/>
    </xf>
    <xf numFmtId="0" fontId="95" fillId="4" borderId="35" xfId="0" applyFill="true" applyFont="true" applyBorder="true">
      <alignment horizontal="left" vertical="top" indent="1" wrapText="false"/>
    </xf>
    <xf numFmtId="0" fontId="96" fillId="5" borderId="35" xfId="0" applyFill="true" applyFont="true" applyBorder="true">
      <alignment horizontal="left" vertical="top" indent="1" wrapText="false"/>
    </xf>
    <xf numFmtId="165" fontId="97" fillId="4" borderId="35" xfId="0" applyFill="true" applyFont="true" applyBorder="true" applyNumberFormat="true">
      <alignment horizontal="left" vertical="top" indent="1" wrapText="false"/>
    </xf>
    <xf numFmtId="165" fontId="98" fillId="5" borderId="35" xfId="0" applyFill="true" applyFont="true" applyBorder="true" applyNumberFormat="true">
      <alignment horizontal="left" vertical="top" indent="1" wrapText="false"/>
    </xf>
    <xf numFmtId="0" fontId="99" fillId="4" borderId="35" xfId="0" applyFill="true" applyFont="true" applyBorder="true">
      <alignment horizontal="left" vertical="top" indent="1" wrapText="false"/>
    </xf>
    <xf numFmtId="0" fontId="100" fillId="5" borderId="35" xfId="0" applyFill="true" applyFont="true" applyBorder="true">
      <alignment horizontal="left" vertical="top" indent="1" wrapText="false"/>
    </xf>
    <xf numFmtId="166" fontId="101" fillId="0" borderId="0" xfId="0" applyNumberFormat="true" applyFont="true">
      <alignment horizontal="left"/>
    </xf>
    <xf numFmtId="49" fontId="102" fillId="0" borderId="0" xfId="0" applyNumberFormat="true" applyFont="true">
      <alignment horizontal="left"/>
    </xf>
    <xf numFmtId="10" fontId="103" fillId="0" borderId="18" xfId="0" applyNumberFormat="true" applyFont="true" applyBorder="true">
      <alignment horizontal="right"/>
    </xf>
    <xf numFmtId="2" fontId="104" fillId="0" borderId="18" xfId="0" applyNumberFormat="true" applyFont="true" applyBorder="true">
      <alignment horizontal="right"/>
    </xf>
    <xf numFmtId="166" fontId="101" fillId="4" borderId="0" xfId="0" applyNumberFormat="true" applyFont="true" applyFill="true">
      <alignment horizontal="left"/>
    </xf>
    <xf numFmtId="49" fontId="102" fillId="4" borderId="0" xfId="0" applyNumberFormat="true" applyFont="true" applyFill="true">
      <alignment horizontal="left"/>
    </xf>
    <xf numFmtId="10" fontId="103" fillId="4" borderId="18" xfId="0" applyNumberFormat="true" applyFont="true" applyBorder="true" applyFill="true">
      <alignment horizontal="right"/>
    </xf>
    <xf numFmtId="2" fontId="104" fillId="4" borderId="18" xfId="0" applyNumberFormat="true" applyFont="true" applyBorder="true" applyFill="true">
      <alignment horizontal="right"/>
    </xf>
    <xf numFmtId="0" fontId="0" fillId="0" borderId="39" xfId="0" applyBorder="true"/>
    <xf numFmtId="0" fontId="0" fillId="0" borderId="40" xfId="0" applyBorder="true"/>
    <xf numFmtId="0" fontId="0" fillId="0" borderId="41" xfId="0" applyBorder="true"/>
    <xf numFmtId="0" fontId="0" fillId="0" borderId="42" xfId="0" applyBorder="true"/>
    <xf numFmtId="0" fontId="0" fillId="0" borderId="43" xfId="0" applyBorder="true"/>
    <xf numFmtId="0" fontId="105" fillId="9" borderId="0" xfId="0" applyFont="true" applyFill="true" applyBorder="true" applyNumberFormat="true"/>
    <xf numFmtId="0" fontId="106" fillId="9" borderId="0" xfId="0" applyFont="true" applyFill="true" applyBorder="true" applyNumberFormat="true"/>
    <xf xmlns:main="http://schemas.openxmlformats.org/spreadsheetml/2006/main" numFmtId="0" fontId="107" fillId="9" borderId="0" xfId="2" applyFont="true" applyFill="true" applyAlignment="1" applyProtection="1" applyBorder="true" applyNumberFormat="true">
      <main:alignment horizontal="left"/>
    </xf>
    <xf numFmtId="0" fontId="108" fillId="9" borderId="0" xfId="0" applyFont="true" applyFill="true" applyBorder="true" applyNumberFormat="true"/>
    <xf xmlns:main="http://schemas.openxmlformats.org/spreadsheetml/2006/main" numFmtId="0" fontId="109" fillId="9" borderId="0" xfId="2" applyFont="true" applyFill="true" applyAlignment="1" applyProtection="1" applyBorder="true" applyNumberFormat="true">
      <main:alignment horizontal="left"/>
    </xf>
    <xf numFmtId="0" fontId="110" fillId="9" borderId="0" xfId="0" applyFont="true" applyFill="true" applyBorder="true" applyNumberFormat="true"/>
    <xf numFmtId="0" fontId="111" fillId="9" borderId="0" xfId="0" applyFont="true" applyFill="true" applyBorder="true" applyNumberFormat="true"/>
    <xf xmlns:main="http://schemas.openxmlformats.org/spreadsheetml/2006/main" numFmtId="0" fontId="112" fillId="5" borderId="0" xfId="3" applyFill="true" applyBorder="true" applyNumberFormat="true" applyFont="true">
      <main:alignment horizontal="right"/>
    </xf>
    <xf numFmtId="0" fontId="113" fillId="5" borderId="0" xfId="4" applyFill="true" applyBorder="true" applyNumberFormat="true" applyFont="true"/>
    <xf xmlns:main="http://schemas.openxmlformats.org/spreadsheetml/2006/main" numFmtId="0" fontId="114" fillId="5" borderId="0" xfId="3" applyFill="true" applyBorder="true" applyNumberFormat="true" applyFont="true">
      <main:alignment horizontal="right"/>
    </xf>
    <xf numFmtId="0" fontId="115" fillId="5" borderId="0" xfId="4" applyFill="true" applyBorder="true" applyNumberFormat="true" applyFont="true"/>
    <xf xmlns:main="http://schemas.openxmlformats.org/spreadsheetml/2006/main" numFmtId="0" fontId="116" fillId="5" borderId="0" xfId="3" applyFill="true" applyBorder="true" applyNumberFormat="true" applyFont="true">
      <main:alignment horizontal="right"/>
    </xf>
    <xf numFmtId="0" fontId="117" fillId="5" borderId="0" xfId="4" applyFill="true" applyBorder="true" applyNumberFormat="true" applyFont="true"/>
    <xf numFmtId="0" fontId="118" fillId="5" borderId="0" xfId="4" applyFill="true" applyBorder="true" applyNumberFormat="true" applyFont="true"/>
    <xf numFmtId="0" fontId="119" fillId="5" borderId="0" xfId="5" applyFill="true" applyBorder="true" applyNumberFormat="true" applyFont="true"/>
    <xf xmlns:main="http://schemas.openxmlformats.org/spreadsheetml/2006/main" numFmtId="0" fontId="120" fillId="9" borderId="0" xfId="2" applyFont="true" applyFill="true" applyAlignment="1" applyProtection="1" applyBorder="true" applyNumberFormat="true">
      <main:alignment horizontal="left"/>
    </xf>
    <xf xmlns:main="http://schemas.openxmlformats.org/spreadsheetml/2006/main" numFmtId="0" fontId="121" fillId="9" borderId="0" xfId="2" applyFont="true" applyFill="true" applyAlignment="1" applyProtection="1" applyBorder="true" applyNumberFormat="true">
      <main:alignment horizontal="left"/>
    </xf>
    <xf numFmtId="0" fontId="122" fillId="5" borderId="0" xfId="5" applyFill="true" applyBorder="true" applyNumberFormat="true" applyFont="true"/>
    <xf numFmtId="0" fontId="123" fillId="0" borderId="0" xfId="0" applyFont="true">
      <alignment horizontal="general" vertical="bottom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9" defaultPivotStyle="PivotStyleLight16"/>
  <colors>
    <mruColors>
      <color rgb="FF2CC9B7"/>
      <color rgb="FF800001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35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../customXml/item1.xml" Type="http://schemas.openxmlformats.org/officeDocument/2006/relationships/customXml"/><Relationship Id="rId8" Target="../customXml/item2.xml" Type="http://schemas.openxmlformats.org/officeDocument/2006/relationships/customXml"/><Relationship Id="rId9" Target="../customXml/item3.xml" Type="http://schemas.openxmlformats.org/officeDocument/2006/relationships/customXml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yes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_rels/chart3.xml.rels><?xml version="1.0" encoding="UTF-8" standalone="yes"?><Relationships xmlns="http://schemas.openxmlformats.org/package/2006/relationships"><Relationship Id="rId1" Target="style3.xml" Type="http://schemas.microsoft.com/office/2011/relationships/chartStyle"/><Relationship Id="rId2" Target="colors3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767052420403464E-2"/>
          <c:y val="0.15472767028473866"/>
          <c:w val="0.84958602588469545"/>
          <c:h val="0.63214861615351969"/>
        </c:manualLayout>
      </c:layout>
      <c:lineChart>
        <c:grouping val="standard"/>
        <c:varyColors val="0"/>
        <c:ser>
          <c:idx val="0"/>
          <c:order val="0"/>
          <c:tx>
            <c:strRef>
              <c:f>Charts!$K$21</c:f>
              <c:strCache>
                <c:ptCount val="1"/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[0]!DateStockPriceChange</c:f>
              <c:numCache>
                <c:formatCode>m/d/yy</c:formatCode>
                <c:ptCount val="3"/>
              </c:numCache>
            </c:numRef>
          </c:cat>
          <c:val>
            <c:numRef>
              <c:f>[0]!CompanyStockPriceChange</c:f>
              <c:numCache>
                <c:formatCode>0.00%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3E-4406-BAA6-6ABB0D20CED0}"/>
            </c:ext>
          </c:extLst>
        </c:ser>
        <c:ser>
          <c:idx val="1"/>
          <c:order val="1"/>
          <c:tx>
            <c:strRef>
              <c:f>Charts!$L$21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B084-42B4-ADF1-F2D148F9456F}"/>
              </c:ext>
            </c:extLst>
          </c:dPt>
          <c:cat>
            <c:numRef>
              <c:f>[0]!DateStockPriceChange</c:f>
              <c:numCache>
                <c:formatCode>m/d/yy</c:formatCode>
                <c:ptCount val="3"/>
              </c:numCache>
            </c:numRef>
          </c:cat>
          <c:val>
            <c:numRef>
              <c:f>[0]!IndexStockPriceChange</c:f>
              <c:numCache>
                <c:formatCode>0.00%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3E-4406-BAA6-6ABB0D20CED0}"/>
            </c:ext>
          </c:extLst>
        </c:ser>
        <c:ser>
          <c:idx val="2"/>
          <c:order val="2"/>
          <c:tx>
            <c:strRef>
              <c:f>Charts!$M$21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[0]!DateStockPriceChange</c:f>
              <c:numCache>
                <c:formatCode>m/d/yy</c:formatCode>
                <c:ptCount val="3"/>
              </c:numCache>
            </c:numRef>
          </c:cat>
          <c:val>
            <c:numRef>
              <c:f>[0]!CompsSetStockPriceChange</c:f>
              <c:numCache>
                <c:formatCode>0.00%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58-4280-AFEE-9A4CE37D9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514400"/>
        <c:axId val="501512832"/>
      </c:lineChart>
      <c:dateAx>
        <c:axId val="501514400"/>
        <c:scaling>
          <c:orientation val="minMax"/>
        </c:scaling>
        <c:delete val="0"/>
        <c:axPos val="b"/>
        <c:numFmt formatCode="m/d/yy" sourceLinked="1"/>
        <c:majorTickMark val="out"/>
        <c:minorTickMark val="out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501512832"/>
        <c:crosses val="autoZero"/>
        <c:auto val="0"/>
        <c:lblOffset val="100"/>
        <c:baseTimeUnit val="days"/>
        <c:majorUnit val="1"/>
        <c:majorTimeUnit val="years"/>
      </c:dateAx>
      <c:valAx>
        <c:axId val="50151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50151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39840716614876"/>
          <c:y val="0.12499890232627379"/>
          <c:w val="0.84958602588469545"/>
          <c:h val="0.63214861615351969"/>
        </c:manualLayout>
      </c:layout>
      <c:lineChart>
        <c:grouping val="standard"/>
        <c:varyColors val="0"/>
        <c:ser>
          <c:idx val="0"/>
          <c:order val="0"/>
          <c:tx>
            <c:strRef>
              <c:f>Charts!$S$21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Charts!DateTradingMultiples</c:f>
              <c:numCache>
                <c:formatCode>m/d/yy</c:formatCode>
                <c:ptCount val="1"/>
              </c:numCache>
            </c:numRef>
          </c:cat>
          <c:val>
            <c:numRef>
              <c:f>Charts!CompanyTradingMultiples</c:f>
              <c:numCache>
                <c:formatCode>0.00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8A-3544-BEA3-C5AE0D933C3C}"/>
            </c:ext>
          </c:extLst>
        </c:ser>
        <c:ser>
          <c:idx val="1"/>
          <c:order val="1"/>
          <c:tx>
            <c:strRef>
              <c:f>Charts!$T$21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Charts!DateTradingMultiples</c:f>
              <c:numCache>
                <c:formatCode>m/d/yy</c:formatCode>
                <c:ptCount val="1"/>
              </c:numCache>
            </c:numRef>
          </c:cat>
          <c:val>
            <c:numRef>
              <c:f>Charts!CompsSetTradingMultiples</c:f>
              <c:numCache>
                <c:formatCode>0.00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8A-3544-BEA3-C5AE0D933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517144"/>
        <c:axId val="501510480"/>
      </c:lineChart>
      <c:dateAx>
        <c:axId val="501517144"/>
        <c:scaling>
          <c:orientation val="minMax"/>
        </c:scaling>
        <c:delete val="0"/>
        <c:axPos val="b"/>
        <c:numFmt formatCode="m/d/yy" sourceLinked="1"/>
        <c:majorTickMark val="out"/>
        <c:minorTickMark val="out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501510480"/>
        <c:crosses val="autoZero"/>
        <c:auto val="0"/>
        <c:lblOffset val="100"/>
        <c:baseTimeUnit val="days"/>
        <c:majorUnit val="1"/>
        <c:majorTimeUnit val="years"/>
      </c:dateAx>
      <c:valAx>
        <c:axId val="5015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501517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Charts!$E$21</c:f>
              <c:strCache>
                <c:ptCount val="1"/>
                <c:pt idx="0">
                  <c:v>Public Company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[0]!CompanyFinancialTickers</c:f>
              <c:numCache>
                <c:formatCode>General</c:formatCode>
                <c:ptCount val="4"/>
              </c:numCache>
            </c:numRef>
          </c:cat>
          <c:val>
            <c:numRef>
              <c:f>[0]!CompanyFinancialValues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18C2-FC48-93EE-6B9F82DBF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501508128"/>
        <c:axId val="501507736"/>
      </c:barChart>
      <c:catAx>
        <c:axId val="50150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501507736"/>
        <c:crosses val="autoZero"/>
        <c:auto val="1"/>
        <c:lblAlgn val="ctr"/>
        <c:lblOffset val="100"/>
        <c:noMultiLvlLbl val="0"/>
      </c:catAx>
      <c:valAx>
        <c:axId val="5015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50150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media/image1.png" Type="http://schemas.openxmlformats.org/officeDocument/2006/relationships/image"/><Relationship Id="rId3" Target="../charts/chart2.xml" Type="http://schemas.openxmlformats.org/officeDocument/2006/relationships/chart"/><Relationship Id="rId4" Target="../charts/chart3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9526</xdr:colOff>
      <xdr:row>6</xdr:row>
      <xdr:rowOff>9525</xdr:rowOff>
    </xdr:from>
    <xdr:to>
      <xdr:col>13</xdr:col>
      <xdr:colOff>104775</xdr:colOff>
      <xdr:row>17</xdr:row>
      <xdr:rowOff>85725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3E34C1A5-774A-4832-AA94-52C621D0A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83820</xdr:colOff>
      <xdr:row>0</xdr:row>
      <xdr:rowOff>30480</xdr:rowOff>
    </xdr:from>
    <xdr:to>
      <xdr:col>2</xdr:col>
      <xdr:colOff>1936457</xdr:colOff>
      <xdr:row>1</xdr:row>
      <xdr:rowOff>17145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42D08A1E-3415-4DF2-8888-5BFFCD380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320" y="30480"/>
          <a:ext cx="1852637" cy="314325"/>
        </a:xfrm>
        <a:prstGeom prst="rect">
          <a:avLst/>
        </a:prstGeom>
      </xdr:spPr>
    </xdr:pic>
    <xdr:clientData/>
  </xdr:twoCellAnchor>
  <xdr:twoCellAnchor>
    <xdr:from>
      <xdr:col>15</xdr:col>
      <xdr:colOff>9526</xdr:colOff>
      <xdr:row>6</xdr:row>
      <xdr:rowOff>9525</xdr:rowOff>
    </xdr:from>
    <xdr:to>
      <xdr:col>20</xdr:col>
      <xdr:colOff>104775</xdr:colOff>
      <xdr:row>17</xdr:row>
      <xdr:rowOff>85725</xdr:rowOff>
    </xdr:to>
    <xdr:graphicFrame macro="">
      <xdr:nvGraphicFramePr>
        <xdr:cNvPr id="6" name="Діаграма 4">
          <a:extLst>
            <a:ext uri="{FF2B5EF4-FFF2-40B4-BE49-F238E27FC236}">
              <a16:creationId xmlns:a16="http://schemas.microsoft.com/office/drawing/2014/main" id="{D7755475-FB7A-4C31-9D4F-C072F2489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6</xdr:row>
      <xdr:rowOff>0</xdr:rowOff>
    </xdr:from>
    <xdr:to>
      <xdr:col>6</xdr:col>
      <xdr:colOff>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BA5603-C046-4DC4-85B8-EB0DCF511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1009488</xdr:colOff>
      <xdr:row>0</xdr:row>
      <xdr:rowOff>314325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" cy="314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35.xml.rels><?xml version="1.0" encoding="UTF-8" standalone="yes"?><Relationships xmlns="http://schemas.openxmlformats.org/package/2006/relationships"><Relationship Id="rId1" Target="https://pitchbook.com/subscription-agreement" TargetMode="External" Type="http://schemas.openxmlformats.org/officeDocument/2006/relationships/hyperlink"/><Relationship Id="rId2" Target="mailto:support@pitchbook.com" TargetMode="External" Type="http://schemas.openxmlformats.org/officeDocument/2006/relationships/hyperlink"/><Relationship Id="rId3" Target="mailto:support@pitchbook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 tabSelected="false">
      <selection activeCell="A1" sqref="A1"/>
    </sheetView>
  </sheetViews>
  <sheetFormatPr baseColWidth="10" defaultColWidth="8.83203125" defaultRowHeight="15" x14ac:dyDescent="0.2"/>
  <sheetData>
    <row r="1" spans="1:1" x14ac:dyDescent="0.2">
      <c r="A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"/>
  <sheetViews>
    <sheetView showGridLines="0" workbookViewId="0" tabSelected="false">
      <selection activeCell="A1" sqref="A1"/>
    </sheetView>
  </sheetViews>
  <sheetFormatPr baseColWidth="10" defaultColWidth="9.1640625" defaultRowHeight="15" x14ac:dyDescent="0.2"/>
  <cols>
    <col min="22" max="16384" style="17" width="9.1640625" collapsed="true"/>
    <col min="21" max="21" style="17" width="19.80078125" collapsed="true" customWidth="true"/>
    <col min="20" max="20" style="17" width="18.7890625" collapsed="true" customWidth="true"/>
    <col min="19" max="19" style="17" width="18.7890625" collapsed="true" customWidth="true"/>
    <col min="18" max="18" style="17" width="18.7890625" collapsed="true" customWidth="true"/>
    <col min="17" max="17" style="17" width="18.7890625" collapsed="true" customWidth="true"/>
    <col min="16" max="16" style="17" width="18.7890625" collapsed="true" customWidth="true"/>
    <col min="15" max="15" style="17" width="18.7890625" collapsed="true" customWidth="true"/>
    <col min="14" max="14" style="17" width="18.7890625" collapsed="true" customWidth="true"/>
    <col min="13" max="13" style="17" width="18.7890625" collapsed="true" customWidth="true"/>
    <col min="12" max="12" style="17" width="18.7890625" collapsed="true" customWidth="true"/>
    <col min="11" max="11" style="17" width="18.7890625" collapsed="true" customWidth="true"/>
    <col min="10" max="10" style="17" width="18.7890625" collapsed="true" customWidth="true"/>
    <col min="9" max="9" style="17" width="18.7890625" collapsed="true" customWidth="true"/>
    <col min="6" max="6" style="17" width="18.7890625" collapsed="true" customWidth="true"/>
    <col min="4" max="4" customWidth="true" style="17" width="18.7890625" collapsed="true"/>
    <col min="3" max="3" customWidth="true" style="17" width="18.7890625" collapsed="true"/>
    <col min="1" max="1" customWidth="true" style="17" width="12.28515625" collapsed="false"/>
    <col min="2" max="2" customWidth="true" style="17" width="57.8125" collapsed="false"/>
    <col min="5" max="5" style="17" width="18.7890625" collapsed="false" customWidth="true"/>
    <col min="7" max="7" customWidth="true" style="17" width="18.7890625" collapsed="false"/>
    <col min="8" max="8" style="17" width="18.7890625" collapsed="false" customWidth="true"/>
  </cols>
  <sheetData>
    <row r="1" spans="1:7" ht="26.25" customHeight="1" x14ac:dyDescent="0.2">
      <c r="E1" s="14" t="s">
        <v>11</v>
      </c>
      <c r="F1" s="14"/>
      <c r="G1" s="14"/>
    </row>
    <row r="2" spans="1:7" ht="12" customHeight="1" x14ac:dyDescent="0.2"/>
    <row r="3" spans="1:7" ht="15" customHeight="1" x14ac:dyDescent="0.2">
      <c r="A3" s="2" t="s">
        <v>13</v>
      </c>
      <c r="B3" s="59"/>
      <c r="C3" s="59"/>
    </row>
    <row r="4" spans="1:7" x14ac:dyDescent="0.2">
      <c r="A4" s="1" t="s">
        <v>0</v>
      </c>
      <c r="B4" s="60" t="s">
        <v>12</v>
      </c>
      <c r="C4" s="60"/>
      <c r="D4" s="60"/>
    </row>
    <row r="5" spans="1:7" x14ac:dyDescent="0.2">
      <c r="B5" s="60"/>
      <c r="C5" s="60"/>
      <c r="D5" s="60"/>
      <c r="F5" s="57" t="s">
        <v>1</v>
      </c>
      <c r="G5" s="15" t="s">
        <v>14</v>
      </c>
    </row>
    <row r="6" spans="1:7" x14ac:dyDescent="0.2">
      <c r="B6" s="60"/>
      <c r="C6" s="60"/>
      <c r="D6" s="60"/>
      <c r="F6" s="57" t="s">
        <v>3</v>
      </c>
      <c r="G6" s="16" t="s">
        <v>15</v>
      </c>
    </row>
    <row r="8" spans="1:7" ht="23.25" customHeight="1" x14ac:dyDescent="0.2"/>
    <row r="9" ht="35.0" customHeight="true">
      <c r="A9" t="s" s="67">
        <v>16</v>
      </c>
      <c r="B9" t="s" s="67">
        <v>17</v>
      </c>
      <c r="C9" t="s" s="67">
        <v>18</v>
      </c>
      <c r="D9" t="s" s="67">
        <v>19</v>
      </c>
      <c r="E9" t="s" s="67">
        <v>20</v>
      </c>
      <c r="F9" t="s" s="67">
        <v>21</v>
      </c>
      <c r="G9" t="s" s="67">
        <v>22</v>
      </c>
      <c r="H9" t="s" s="67">
        <v>23</v>
      </c>
      <c r="I9" t="s" s="67">
        <v>24</v>
      </c>
      <c r="J9" t="s" s="67">
        <v>25</v>
      </c>
      <c r="K9" t="s" s="67">
        <v>26</v>
      </c>
      <c r="L9" t="s" s="67">
        <v>27</v>
      </c>
      <c r="M9" t="s" s="67">
        <v>28</v>
      </c>
      <c r="N9" t="s" s="67">
        <v>29</v>
      </c>
      <c r="O9" t="s" s="67">
        <v>30</v>
      </c>
      <c r="P9" t="s" s="67">
        <v>31</v>
      </c>
      <c r="Q9" t="s" s="67">
        <v>32</v>
      </c>
      <c r="R9" t="s" s="67">
        <v>33</v>
      </c>
      <c r="S9" t="s" s="67">
        <v>34</v>
      </c>
      <c r="T9" t="s" s="67">
        <v>35</v>
      </c>
      <c r="U9" t="s" s="68">
        <v>36</v>
      </c>
    </row>
    <row r="10">
      <c r="A10" s="73" t="inlineStr">
        <is>
          <t>10143-37</t>
        </is>
      </c>
      <c r="B10" s="74" t="inlineStr">
        <is>
          <t>Cinemark Theatres (NYS: CNK)</t>
        </is>
      </c>
      <c r="C10" s="75" t="n">
        <v>24.93</v>
      </c>
      <c r="D10" s="76" t="n">
        <v>-5.07</v>
      </c>
      <c r="E10" s="77" t="n">
        <v>9.96</v>
      </c>
      <c r="F10" s="78" t="n">
        <v>174100.0</v>
      </c>
      <c r="G10" s="79" t="n">
        <v>339400.0</v>
      </c>
      <c r="H10" s="80" t="n">
        <v>286400.0</v>
      </c>
      <c r="I10" s="81" t="n">
        <v>258763.0</v>
      </c>
      <c r="J10" s="82" t="n">
        <v>24.21</v>
      </c>
      <c r="K10" s="83" t="n">
        <v>17.9</v>
      </c>
      <c r="L10" s="84" t="n">
        <v>16.86</v>
      </c>
      <c r="M10" s="85" t="n">
        <v>7.55</v>
      </c>
      <c r="N10" s="86" t="n">
        <v>8.54</v>
      </c>
      <c r="O10" s="87" t="n">
        <v>31.99</v>
      </c>
      <c r="P10" s="88" t="n">
        <v>4093093.0</v>
      </c>
      <c r="Q10" s="89" t="n">
        <v>6656193.0</v>
      </c>
      <c r="R10" s="90" t="n">
        <v>484600.0</v>
      </c>
      <c r="S10" s="91" t="n">
        <v>2874100.0</v>
      </c>
      <c r="T10" s="92" t="n">
        <v>13.74</v>
      </c>
      <c r="U10" s="155">
        <f>HYPERLINK("https://my.pitchbook.com?c=10143-37", "View company online")</f>
      </c>
    </row>
    <row r="11">
      <c r="A11" s="94" t="inlineStr">
        <is>
          <t>10086-31</t>
        </is>
      </c>
      <c r="B11" s="95" t="inlineStr">
        <is>
          <t>AMC Entertainment Holdings (NYS: AMC)</t>
        </is>
      </c>
      <c r="C11" s="96" t="n">
        <v>23.04</v>
      </c>
      <c r="D11" s="97" t="n">
        <v>-5.62</v>
      </c>
      <c r="E11" s="98" t="n">
        <v>0.56</v>
      </c>
      <c r="F11" s="99" t="n">
        <v>97800.0</v>
      </c>
      <c r="G11" s="100" t="n">
        <v>18000.0</v>
      </c>
      <c r="H11" s="101" t="n">
        <v>24800.0</v>
      </c>
      <c r="I11" s="102" t="n">
        <v>-391732.0</v>
      </c>
      <c r="J11" s="103" t="n">
        <v>13.24</v>
      </c>
      <c r="K11" s="104" t="n">
        <v>7.96</v>
      </c>
      <c r="L11" s="105" t="n">
        <v>7.93</v>
      </c>
      <c r="M11" s="106" t="n">
        <v>-1.0</v>
      </c>
      <c r="N11" s="107" t="n">
        <v>-0.91</v>
      </c>
      <c r="O11" s="108" t="n">
        <v>4.36</v>
      </c>
      <c r="P11" s="109" t="n">
        <v>1630450.0</v>
      </c>
      <c r="Q11" s="110" t="n">
        <v>9566150.0</v>
      </c>
      <c r="R11" s="111" t="n">
        <v>351900.0</v>
      </c>
      <c r="S11" s="112" t="n">
        <v>4435200.0</v>
      </c>
      <c r="T11" s="113" t="n">
        <v>27.18</v>
      </c>
      <c r="U11" s="156">
        <f>HYPERLINK("https://my.pitchbook.com?c=10086-31", "View company online")</f>
      </c>
    </row>
    <row r="12">
      <c r="A12" s="73" t="inlineStr">
        <is>
          <t>433975-06</t>
        </is>
      </c>
      <c r="B12" s="74" t="inlineStr">
        <is>
          <t>Sphere Entertainment (New York) (NYS: SPHR)</t>
        </is>
      </c>
      <c r="C12" s="75" t="n">
        <v>78.95</v>
      </c>
      <c r="D12" s="76" t="n">
        <v>99.89</v>
      </c>
      <c r="E12" s="77" t="n">
        <v>-34.9</v>
      </c>
      <c r="F12" s="78" t="n">
        <v>-118314.0</v>
      </c>
      <c r="G12" s="79" t="n">
        <v>-306044.0</v>
      </c>
      <c r="H12" s="80" t="n">
        <v>-396765.0</v>
      </c>
      <c r="I12" s="81" t="n">
        <v>-232651.0</v>
      </c>
      <c r="J12" s="82" t="n">
        <v>-15.97</v>
      </c>
      <c r="K12" s="83" t="n">
        <v>-4.83</v>
      </c>
      <c r="L12" s="84" t="n">
        <v>-6.39</v>
      </c>
      <c r="M12" s="85" t="n">
        <v>-4.82</v>
      </c>
      <c r="N12" s="86" t="n">
        <v>-8.41</v>
      </c>
      <c r="O12" s="87" t="n">
        <v>40.65</v>
      </c>
      <c r="P12" s="88" t="n">
        <v>1484704.0</v>
      </c>
      <c r="Q12" s="89" t="n">
        <v>2443154.0</v>
      </c>
      <c r="R12" s="90" t="n">
        <v>-72617.0</v>
      </c>
      <c r="S12" s="91" t="n">
        <v>1136795.0</v>
      </c>
      <c r="T12" s="92" t="inlineStr">
        <is>
          <t/>
        </is>
      </c>
      <c r="U12" s="155">
        <f>HYPERLINK("https://my.pitchbook.com?c=433975-06", "View company online")</f>
      </c>
    </row>
    <row r="13">
      <c r="A13" s="94" t="inlineStr">
        <is>
          <t>167507-47</t>
        </is>
      </c>
      <c r="B13" s="95" t="inlineStr">
        <is>
          <t>Atlanta Braves Holdings (NAS: BATRA)</t>
        </is>
      </c>
      <c r="C13" s="96" t="n">
        <v>8.85</v>
      </c>
      <c r="D13" s="97" t="n">
        <v>5.31</v>
      </c>
      <c r="E13" s="98" t="n">
        <v>-2.28</v>
      </c>
      <c r="F13" s="99" t="n">
        <v>19466.0</v>
      </c>
      <c r="G13" s="100" t="n">
        <v>-91485.0</v>
      </c>
      <c r="H13" s="101" t="n">
        <v>-15483.0</v>
      </c>
      <c r="I13" s="102" t="n">
        <v>-98761.0</v>
      </c>
      <c r="J13" s="103" t="n">
        <v>13.12</v>
      </c>
      <c r="K13" s="104" t="n">
        <v>-3.2</v>
      </c>
      <c r="L13" s="105" t="n">
        <v>7.51</v>
      </c>
      <c r="M13" s="106" t="n">
        <v>-8.8</v>
      </c>
      <c r="N13" s="107" t="n">
        <v>-1.04</v>
      </c>
      <c r="O13" s="108" t="n">
        <v>41.97</v>
      </c>
      <c r="P13" s="109" t="n">
        <v>2536820.0</v>
      </c>
      <c r="Q13" s="110" t="n">
        <v>3191632.0</v>
      </c>
      <c r="R13" s="111" t="n">
        <v>50951.0</v>
      </c>
      <c r="S13" s="112" t="n">
        <v>678378.0</v>
      </c>
      <c r="T13" s="113" t="n">
        <v>62.64</v>
      </c>
      <c r="U13" s="156">
        <f>HYPERLINK("https://my.pitchbook.com?c=167507-47", "View company online")</f>
      </c>
    </row>
    <row r="16">
      <c r="A16" s="72" t="inlineStr">
        <is>
          <t>© PitchBook Data, Inc. 2024</t>
        </is>
      </c>
    </row>
  </sheetData>
  <mergeCells count="2">
    <mergeCell ref="B3:C3"/>
    <mergeCell ref="B4:D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76"/>
  <sheetViews>
    <sheetView showGridLines="0" tabSelected="false" zoomScale="113" zoomScaleNormal="113" workbookViewId="0">
      <selection activeCell="A1" sqref="A1"/>
    </sheetView>
  </sheetViews>
  <sheetFormatPr baseColWidth="10" defaultColWidth="8.6640625" defaultRowHeight="15" x14ac:dyDescent="0.2"/>
  <cols>
    <col min="1" max="1" customWidth="true" style="9" width="1.33203125" collapsed="false"/>
    <col min="2" max="2" customWidth="true" width="1.5" collapsed="false"/>
    <col min="3" max="3" customWidth="true" width="47.5" collapsed="false"/>
    <col min="4" max="4" customWidth="true" style="9" width="6.33203125" collapsed="false"/>
    <col min="5" max="5" customWidth="true" width="22.5" collapsed="false"/>
    <col min="6" max="6" customWidth="true" width="1.5" collapsed="false"/>
    <col min="7" max="7" customWidth="true" width="1.1640625" collapsed="false"/>
    <col min="8" max="8" customWidth="true" width="1.6640625" collapsed="false"/>
    <col min="9" max="9" bestFit="true" customWidth="true" width="10.6640625" collapsed="false"/>
    <col min="10" max="10" customWidth="true" width="20.5" collapsed="false"/>
    <col min="11" max="12" customWidth="true" width="15.0" collapsed="false"/>
    <col min="13" max="13" customWidth="true" style="9" width="15.0" collapsed="false"/>
    <col min="14" max="14" customWidth="true" width="1.6640625" collapsed="false"/>
    <col min="15" max="15" customWidth="true" width="1.83203125" collapsed="false"/>
    <col min="16" max="16" customWidth="true" style="9" width="1.6640625" collapsed="false"/>
    <col min="17" max="17" bestFit="true" customWidth="true" style="9" width="10.6640625" collapsed="false"/>
    <col min="18" max="18" customWidth="true" style="9" width="31.33203125" collapsed="false"/>
    <col min="19" max="19" customWidth="true" style="9" width="16.0" collapsed="false"/>
    <col min="20" max="20" customWidth="true" style="9" width="14.6640625" collapsed="false"/>
    <col min="21" max="21" customWidth="true" style="9" width="1.6640625" collapsed="false"/>
  </cols>
  <sheetData>
    <row r="1" spans="1:21" ht="26.25" customHeight="1" x14ac:dyDescent="0.2">
      <c r="A1" s="10"/>
      <c r="B1" s="10"/>
      <c r="C1" s="10"/>
      <c r="D1" s="10"/>
      <c r="E1" s="55"/>
      <c r="F1" s="10"/>
      <c r="G1" s="10"/>
      <c r="H1" s="10"/>
      <c r="I1" s="10"/>
      <c r="J1" s="58" t="s">
        <v>11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35"/>
    </row>
    <row r="2" spans="1:21" ht="15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35"/>
    </row>
    <row r="3" spans="1:21" ht="15" customHeight="1" x14ac:dyDescent="0.2">
      <c r="A3" s="10"/>
      <c r="B3" s="10"/>
      <c r="C3" s="56" t="s">
        <v>0</v>
      </c>
      <c r="D3" s="66" t="s">
        <v>12</v>
      </c>
      <c r="E3" s="66"/>
      <c r="F3" s="66"/>
      <c r="G3" s="66"/>
      <c r="H3" s="66"/>
      <c r="I3" s="66"/>
      <c r="J3" s="66"/>
      <c r="K3" s="57" t="s">
        <v>1</v>
      </c>
      <c r="L3" s="10" t="s">
        <v>14</v>
      </c>
      <c r="M3" s="10"/>
      <c r="N3" s="10"/>
      <c r="O3" s="10"/>
      <c r="P3" s="10"/>
      <c r="Q3" s="10"/>
      <c r="R3" s="10"/>
      <c r="S3" s="10"/>
      <c r="T3" s="10"/>
      <c r="U3" s="35"/>
    </row>
    <row r="4" spans="1:21" ht="15" customHeight="1" x14ac:dyDescent="0.2">
      <c r="A4" s="10"/>
      <c r="B4" s="10" t="s">
        <v>47</v>
      </c>
      <c r="C4" s="10"/>
      <c r="D4" s="66"/>
      <c r="E4" s="66"/>
      <c r="F4" s="66"/>
      <c r="G4" s="66"/>
      <c r="H4" s="66"/>
      <c r="I4" s="66"/>
      <c r="J4" s="66"/>
      <c r="K4" s="57" t="s">
        <v>3</v>
      </c>
      <c r="L4" s="10" t="s">
        <v>15</v>
      </c>
      <c r="M4" s="10"/>
      <c r="N4" s="10"/>
      <c r="O4" s="10"/>
      <c r="P4" s="10"/>
      <c r="Q4" s="10"/>
      <c r="R4" s="10"/>
      <c r="S4" s="10"/>
      <c r="T4" s="10"/>
      <c r="U4" s="35"/>
    </row>
    <row r="5" spans="1:2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35"/>
    </row>
    <row r="6" spans="1:21" ht="15" customHeight="1" x14ac:dyDescent="0.2">
      <c r="A6" s="35"/>
      <c r="B6" s="13"/>
      <c r="C6" s="11" t="s">
        <v>34</v>
      </c>
      <c r="D6" s="11"/>
      <c r="E6" s="11"/>
      <c r="F6" s="12"/>
      <c r="G6" s="35"/>
      <c r="H6" s="61" t="s">
        <v>45</v>
      </c>
      <c r="I6" s="62"/>
      <c r="J6" s="62"/>
      <c r="K6" s="62"/>
      <c r="L6" s="62"/>
      <c r="M6" s="62"/>
      <c r="N6" s="63"/>
      <c r="O6" s="35"/>
      <c r="P6" s="61" t="s">
        <v>42</v>
      </c>
      <c r="Q6" s="62"/>
      <c r="R6" s="62"/>
      <c r="S6" s="62"/>
      <c r="T6" s="62"/>
      <c r="U6" s="63"/>
    </row>
    <row r="7" spans="1:21" ht="16.5" customHeight="1" x14ac:dyDescent="0.2">
      <c r="A7" s="35"/>
      <c r="B7" s="3"/>
      <c r="C7" s="4"/>
      <c r="D7" s="4"/>
      <c r="E7" s="4"/>
      <c r="F7" s="5"/>
      <c r="G7" s="4"/>
      <c r="H7" s="7"/>
      <c r="I7" s="33"/>
      <c r="J7" s="33"/>
      <c r="K7" s="33"/>
      <c r="L7" s="33"/>
      <c r="M7" s="33"/>
      <c r="N7" s="31"/>
      <c r="O7" s="35"/>
      <c r="P7" s="7"/>
      <c r="Q7" s="33"/>
      <c r="R7" s="33"/>
      <c r="S7" s="33"/>
      <c r="T7" s="33"/>
      <c r="U7" s="31"/>
    </row>
    <row r="8" spans="1:21" ht="7.5" customHeight="1" x14ac:dyDescent="0.2">
      <c r="A8" s="35"/>
      <c r="B8" s="41"/>
      <c r="C8" s="33"/>
      <c r="D8" s="33"/>
      <c r="E8" s="33"/>
      <c r="F8" s="42"/>
      <c r="G8" s="33"/>
      <c r="H8" s="29"/>
      <c r="I8" s="33"/>
      <c r="J8" s="33"/>
      <c r="K8" s="33"/>
      <c r="L8" s="33"/>
      <c r="M8" s="33"/>
      <c r="N8" s="31"/>
      <c r="O8" s="35"/>
      <c r="P8" s="29"/>
      <c r="Q8" s="33"/>
      <c r="R8" s="33"/>
      <c r="S8" s="33"/>
      <c r="T8" s="33"/>
      <c r="U8" s="31"/>
    </row>
    <row r="9" spans="1:21" ht="18.75" customHeight="1" x14ac:dyDescent="0.2">
      <c r="A9" s="35"/>
      <c r="B9" s="41"/>
      <c r="C9" s="35"/>
      <c r="D9" s="35"/>
      <c r="E9" s="35"/>
      <c r="F9" s="42"/>
      <c r="G9" s="33"/>
      <c r="H9" s="29"/>
      <c r="I9" s="33"/>
      <c r="J9" s="33"/>
      <c r="K9" s="33"/>
      <c r="L9" s="33"/>
      <c r="M9" s="33"/>
      <c r="N9" s="31"/>
      <c r="O9" s="35"/>
      <c r="P9" s="29"/>
      <c r="Q9" s="33"/>
      <c r="R9" s="33"/>
      <c r="S9" s="33"/>
      <c r="T9" s="33"/>
      <c r="U9" s="31"/>
    </row>
    <row r="10" spans="1:21" s="9" customFormat="1" ht="18.75" customHeight="1" x14ac:dyDescent="0.2">
      <c r="A10" s="35"/>
      <c r="B10" s="43"/>
      <c r="C10" s="35"/>
      <c r="D10" s="35"/>
      <c r="E10" s="35"/>
      <c r="F10" s="44"/>
      <c r="G10" s="33"/>
      <c r="H10" s="21"/>
      <c r="I10" s="33"/>
      <c r="J10" s="33"/>
      <c r="K10" s="33"/>
      <c r="L10" s="33"/>
      <c r="M10" s="33"/>
      <c r="N10" s="26"/>
      <c r="O10" s="35"/>
      <c r="P10" s="21"/>
      <c r="Q10" s="33"/>
      <c r="R10" s="33"/>
      <c r="S10" s="33"/>
      <c r="T10" s="33"/>
      <c r="U10" s="26"/>
    </row>
    <row r="11" spans="1:21" ht="18.75" customHeight="1" x14ac:dyDescent="0.2">
      <c r="A11" s="35"/>
      <c r="B11" s="41"/>
      <c r="C11" s="35"/>
      <c r="D11" s="35"/>
      <c r="E11" s="35"/>
      <c r="F11" s="42"/>
      <c r="G11" s="33"/>
      <c r="H11" s="29"/>
      <c r="I11" s="33"/>
      <c r="J11" s="33"/>
      <c r="K11" s="33"/>
      <c r="L11" s="33"/>
      <c r="M11" s="33"/>
      <c r="N11" s="31"/>
      <c r="O11" s="35"/>
      <c r="P11" s="29"/>
      <c r="Q11" s="33"/>
      <c r="R11" s="33"/>
      <c r="S11" s="33"/>
      <c r="T11" s="33"/>
      <c r="U11" s="31"/>
    </row>
    <row r="12" spans="1:21" s="9" customFormat="1" ht="18.75" customHeight="1" x14ac:dyDescent="0.2">
      <c r="A12" s="35"/>
      <c r="B12" s="43"/>
      <c r="C12" s="35"/>
      <c r="D12" s="35"/>
      <c r="E12" s="35"/>
      <c r="F12" s="44"/>
      <c r="G12" s="33"/>
      <c r="H12" s="21"/>
      <c r="I12" s="33"/>
      <c r="J12" s="33"/>
      <c r="K12" s="33"/>
      <c r="L12" s="33"/>
      <c r="M12" s="33"/>
      <c r="N12" s="26"/>
      <c r="O12" s="35"/>
      <c r="P12" s="21"/>
      <c r="Q12" s="33"/>
      <c r="R12" s="33"/>
      <c r="S12" s="33"/>
      <c r="T12" s="33"/>
      <c r="U12" s="26"/>
    </row>
    <row r="13" spans="1:21" s="9" customFormat="1" ht="18.75" customHeight="1" x14ac:dyDescent="0.2">
      <c r="A13" s="35"/>
      <c r="B13" s="43"/>
      <c r="C13" s="35"/>
      <c r="D13" s="35"/>
      <c r="E13" s="35"/>
      <c r="F13" s="44"/>
      <c r="G13" s="33"/>
      <c r="H13" s="21"/>
      <c r="I13" s="33"/>
      <c r="J13" s="33"/>
      <c r="K13" s="33"/>
      <c r="L13" s="33"/>
      <c r="M13" s="33"/>
      <c r="N13" s="26"/>
      <c r="O13" s="35"/>
      <c r="P13" s="21"/>
      <c r="Q13" s="33"/>
      <c r="R13" s="33"/>
      <c r="S13" s="33"/>
      <c r="T13" s="33"/>
      <c r="U13" s="26"/>
    </row>
    <row r="14" spans="1:21" s="9" customFormat="1" ht="18.75" customHeight="1" x14ac:dyDescent="0.2">
      <c r="A14" s="35"/>
      <c r="B14" s="43"/>
      <c r="C14" s="35"/>
      <c r="D14" s="35"/>
      <c r="E14" s="35"/>
      <c r="F14" s="44"/>
      <c r="G14" s="33"/>
      <c r="H14" s="21"/>
      <c r="I14" s="33"/>
      <c r="J14" s="33"/>
      <c r="K14" s="33"/>
      <c r="L14" s="33"/>
      <c r="M14" s="33"/>
      <c r="N14" s="26"/>
      <c r="O14" s="35"/>
      <c r="P14" s="21"/>
      <c r="Q14" s="33"/>
      <c r="R14" s="33"/>
      <c r="S14" s="33"/>
      <c r="T14" s="33"/>
      <c r="U14" s="26"/>
    </row>
    <row r="15" spans="1:21" ht="18.75" customHeight="1" x14ac:dyDescent="0.2">
      <c r="A15" s="35"/>
      <c r="B15" s="41"/>
      <c r="C15" s="35"/>
      <c r="D15" s="35"/>
      <c r="E15" s="35"/>
      <c r="F15" s="42"/>
      <c r="G15" s="33"/>
      <c r="H15" s="29"/>
      <c r="I15" s="33"/>
      <c r="J15" s="33"/>
      <c r="K15" s="33"/>
      <c r="L15" s="33"/>
      <c r="M15" s="33"/>
      <c r="N15" s="31"/>
      <c r="O15" s="35"/>
      <c r="P15" s="29"/>
      <c r="Q15" s="33"/>
      <c r="R15" s="33"/>
      <c r="S15" s="33"/>
      <c r="T15" s="33"/>
      <c r="U15" s="31"/>
    </row>
    <row r="16" spans="1:21" ht="18.75" customHeight="1" x14ac:dyDescent="0.2">
      <c r="A16" s="35"/>
      <c r="B16" s="41"/>
      <c r="C16" s="35"/>
      <c r="D16" s="35"/>
      <c r="E16" s="35"/>
      <c r="F16" s="42"/>
      <c r="G16" s="33"/>
      <c r="H16" s="29"/>
      <c r="I16" s="33"/>
      <c r="J16" s="33"/>
      <c r="K16" s="33"/>
      <c r="L16" s="33"/>
      <c r="M16" s="33"/>
      <c r="N16" s="31"/>
      <c r="O16" s="35"/>
      <c r="P16" s="29"/>
      <c r="Q16" s="33"/>
      <c r="R16" s="33"/>
      <c r="S16" s="33"/>
      <c r="T16" s="33"/>
      <c r="U16" s="31"/>
    </row>
    <row r="17" spans="1:22" ht="18.75" customHeight="1" x14ac:dyDescent="0.2">
      <c r="A17" s="35"/>
      <c r="B17" s="41"/>
      <c r="C17" s="35"/>
      <c r="D17" s="35"/>
      <c r="E17" s="35"/>
      <c r="F17" s="42"/>
      <c r="G17" s="33"/>
      <c r="H17" s="29"/>
      <c r="I17" s="33"/>
      <c r="J17" s="33"/>
      <c r="K17" s="33"/>
      <c r="L17" s="33"/>
      <c r="M17" s="33"/>
      <c r="N17" s="31"/>
      <c r="O17" s="35"/>
      <c r="P17" s="29"/>
      <c r="Q17" s="33"/>
      <c r="R17" s="33"/>
      <c r="S17" s="33"/>
      <c r="T17" s="33"/>
      <c r="U17" s="31"/>
    </row>
    <row r="18" spans="1:22" ht="7.5" customHeight="1" x14ac:dyDescent="0.2">
      <c r="A18" s="35"/>
      <c r="B18" s="45"/>
      <c r="C18" s="46"/>
      <c r="D18" s="47"/>
      <c r="E18" s="46"/>
      <c r="F18" s="48"/>
      <c r="G18" s="33"/>
      <c r="H18" s="49"/>
      <c r="I18" s="50"/>
      <c r="J18" s="50"/>
      <c r="K18" s="50"/>
      <c r="L18" s="50"/>
      <c r="M18" s="34"/>
      <c r="N18" s="51"/>
      <c r="O18" s="35"/>
      <c r="P18" s="49"/>
      <c r="Q18" s="50"/>
      <c r="R18" s="50"/>
      <c r="S18" s="50"/>
      <c r="T18" s="50"/>
      <c r="U18" s="51"/>
    </row>
    <row r="19" spans="1:22" x14ac:dyDescent="0.2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</row>
    <row r="20" spans="1:22" ht="7.5" customHeight="1" x14ac:dyDescent="0.2">
      <c r="A20" s="35"/>
      <c r="B20" s="20"/>
      <c r="C20" s="23"/>
      <c r="D20" s="23"/>
      <c r="E20" s="24"/>
      <c r="F20" s="25"/>
      <c r="G20" s="33"/>
      <c r="H20" s="20"/>
      <c r="I20" s="23"/>
      <c r="J20" s="23"/>
      <c r="K20" s="24"/>
      <c r="L20" s="24"/>
      <c r="M20" s="24"/>
      <c r="N20" s="25"/>
      <c r="O20" s="35"/>
      <c r="P20" s="20"/>
      <c r="Q20" s="23"/>
      <c r="R20" s="23"/>
      <c r="S20" s="24"/>
      <c r="T20" s="24"/>
      <c r="U20" s="25"/>
      <c r="V20" s="35"/>
    </row>
    <row r="21" spans="1:22" x14ac:dyDescent="0.2">
      <c r="A21" s="35"/>
      <c r="B21" s="21"/>
      <c r="C21" s="64" t="s">
        <v>7</v>
      </c>
      <c r="D21" s="65"/>
      <c r="E21" s="52" t="s">
        <v>10</v>
      </c>
      <c r="F21" s="26"/>
      <c r="G21" s="33"/>
      <c r="H21" s="29"/>
      <c r="I21" s="37"/>
      <c r="J21" s="37"/>
      <c r="K21" s="6" t="s">
        <v>43</v>
      </c>
      <c r="L21" s="6" t="s">
        <v>46</v>
      </c>
      <c r="M21" s="6" t="s">
        <v>44</v>
      </c>
      <c r="N21" s="31"/>
      <c r="O21" s="35"/>
      <c r="P21" s="29"/>
      <c r="Q21" s="37"/>
      <c r="R21" s="37"/>
      <c r="S21" s="6" t="s">
        <v>43</v>
      </c>
      <c r="T21" s="6" t="s">
        <v>44</v>
      </c>
      <c r="U21" s="31"/>
      <c r="V21" s="35"/>
    </row>
    <row r="22" spans="1:22" x14ac:dyDescent="0.2">
      <c r="A22" s="35"/>
      <c r="B22" s="21"/>
      <c r="C22" s="19"/>
      <c r="D22" s="19"/>
      <c r="E22" s="33"/>
      <c r="F22" s="26"/>
      <c r="G22" s="33"/>
      <c r="H22" s="29"/>
      <c r="I22" s="37"/>
      <c r="J22" s="37"/>
      <c r="K22" s="33"/>
      <c r="L22" s="33"/>
      <c r="M22" s="33"/>
      <c r="N22" s="31"/>
      <c r="O22" s="35"/>
      <c r="P22" s="29"/>
      <c r="Q22" s="37"/>
      <c r="R22" s="37"/>
      <c r="S22" s="33"/>
      <c r="T22" s="33"/>
      <c r="U22" s="31"/>
      <c r="V22" s="35"/>
    </row>
    <row r="23" spans="1:22" x14ac:dyDescent="0.2">
      <c r="A23" s="35"/>
      <c r="B23" s="21"/>
      <c r="C23" s="18"/>
      <c r="D23" s="54"/>
      <c r="E23" s="40" t="s">
        <v>37</v>
      </c>
      <c r="F23" s="26"/>
      <c r="G23" s="33"/>
      <c r="H23" s="29"/>
      <c r="I23" s="38" t="s">
        <v>4</v>
      </c>
      <c r="J23" s="38"/>
      <c r="K23" s="53" t="s">
        <v>5</v>
      </c>
      <c r="L23" s="53" t="s">
        <v>5</v>
      </c>
      <c r="M23" s="53" t="s">
        <v>5</v>
      </c>
      <c r="N23" s="31"/>
      <c r="O23" s="35"/>
      <c r="P23" s="29"/>
      <c r="Q23" s="38" t="s">
        <v>4</v>
      </c>
      <c r="R23" s="39"/>
      <c r="S23" s="40" t="s">
        <v>6</v>
      </c>
      <c r="T23" s="40" t="s">
        <v>6</v>
      </c>
      <c r="U23" s="31"/>
      <c r="V23" s="35"/>
    </row>
    <row r="24" spans="1:22" s="9" customFormat="1" ht="14.5" customHeight="1" x14ac:dyDescent="0.2">
      <c r="A24" s="35"/>
      <c r="B24" s="21"/>
      <c r="C24" s="18"/>
      <c r="D24" s="54"/>
      <c r="E24" s="40"/>
      <c r="F24" s="26"/>
      <c r="G24" s="33"/>
      <c r="H24" s="29"/>
      <c r="I24" s="38"/>
      <c r="J24" s="38"/>
      <c r="K24" s="53"/>
      <c r="L24" s="53"/>
      <c r="M24" s="53"/>
      <c r="N24" s="31"/>
      <c r="O24" s="35"/>
      <c r="P24" s="29"/>
      <c r="Q24" s="39"/>
      <c r="R24" s="39"/>
      <c r="S24" s="40"/>
      <c r="T24" s="40"/>
      <c r="U24" s="31"/>
      <c r="V24" s="35"/>
    </row>
    <row r="25" spans="1:22" s="17" customFormat="1" ht="14.5" customHeight="1" x14ac:dyDescent="0.2">
      <c r="A25" s="35"/>
      <c r="B25" s="165"/>
      <c r="C25" s="157" t="s">
        <v>38</v>
      </c>
      <c r="D25" s="157"/>
      <c r="E25" s="160" t="n">
        <v>4.4352</v>
      </c>
      <c r="F25" s="166"/>
      <c r="G25" s="33"/>
      <c r="H25" s="165"/>
      <c r="I25" s="157" t="n">
        <v>45250.0</v>
      </c>
      <c r="J25" s="157"/>
      <c r="K25" s="159" t="n">
        <v>0.0</v>
      </c>
      <c r="L25" s="159" t="n">
        <v>0.0</v>
      </c>
      <c r="M25" s="159" t="n">
        <v>0.0</v>
      </c>
      <c r="N25" s="166"/>
      <c r="O25" s="35"/>
      <c r="P25" s="165"/>
      <c r="Q25" s="157" t="n">
        <v>45250.0</v>
      </c>
      <c r="R25" s="157"/>
      <c r="S25" s="160" t="n">
        <v>0.671051</v>
      </c>
      <c r="T25" s="160" t="n">
        <v>1.875829</v>
      </c>
      <c r="U25" s="166"/>
      <c r="V25" s="35"/>
    </row>
    <row r="26" spans="1:22" x14ac:dyDescent="0.2">
      <c r="A26" s="35"/>
      <c r="B26" s="165"/>
      <c r="C26" s="161" t="s">
        <v>39</v>
      </c>
      <c r="D26" s="161"/>
      <c r="E26" s="164" t="n">
        <v>2.8741</v>
      </c>
      <c r="F26" s="166"/>
      <c r="G26" s="33"/>
      <c r="H26" s="165"/>
      <c r="I26" s="161" t="n">
        <v>45251.0</v>
      </c>
      <c r="J26" s="161"/>
      <c r="K26" s="163" t="n">
        <v>-0.009887005649717562</v>
      </c>
      <c r="L26" s="163" t="n">
        <v>-0.002020943928152108</v>
      </c>
      <c r="M26" s="163" t="n">
        <v>-0.021405640911309476</v>
      </c>
      <c r="N26" s="166"/>
      <c r="O26" s="35"/>
      <c r="P26" s="165"/>
      <c r="Q26" s="161" t="n">
        <v>45251.0</v>
      </c>
      <c r="R26" s="161"/>
      <c r="S26" s="164" t="n">
        <v>0.664416</v>
      </c>
      <c r="T26" s="164" t="n">
        <v>1.842336</v>
      </c>
      <c r="U26" s="166"/>
      <c r="V26" s="35"/>
    </row>
    <row r="27" spans="1:22" x14ac:dyDescent="0.2">
      <c r="A27" s="35"/>
      <c r="B27" s="165"/>
      <c r="C27" s="157" t="s">
        <v>40</v>
      </c>
      <c r="D27" s="157"/>
      <c r="E27" s="160" t="n">
        <v>1.136795</v>
      </c>
      <c r="F27" s="166"/>
      <c r="G27" s="33"/>
      <c r="H27" s="165"/>
      <c r="I27" s="157" t="n">
        <v>45252.0</v>
      </c>
      <c r="J27" s="157"/>
      <c r="K27" s="159" t="n">
        <v>-0.016242937853107375</v>
      </c>
      <c r="L27" s="159" t="n">
        <v>0.0020319392705250294</v>
      </c>
      <c r="M27" s="159" t="n">
        <v>-0.011213108075433076</v>
      </c>
      <c r="N27" s="166"/>
      <c r="O27" s="35"/>
      <c r="P27" s="165"/>
      <c r="Q27" s="157" t="n">
        <v>45252.0</v>
      </c>
      <c r="R27" s="157"/>
      <c r="S27" s="160" t="n">
        <v>0.660151</v>
      </c>
      <c r="T27" s="160" t="n">
        <v>1.856037</v>
      </c>
      <c r="U27" s="166"/>
      <c r="V27" s="35"/>
    </row>
    <row r="28" spans="1:22" x14ac:dyDescent="0.2">
      <c r="A28" s="35"/>
      <c r="B28" s="165"/>
      <c r="C28" s="161" t="s">
        <v>41</v>
      </c>
      <c r="D28" s="161"/>
      <c r="E28" s="164" t="n">
        <v>0.678378</v>
      </c>
      <c r="F28" s="166"/>
      <c r="G28" s="35"/>
      <c r="H28" s="165"/>
      <c r="I28" s="161" t="n">
        <v>45254.0</v>
      </c>
      <c r="J28" s="161"/>
      <c r="K28" s="163" t="n">
        <v>0.004237288135593209</v>
      </c>
      <c r="L28" s="163" t="n">
        <v>0.002630085895614531</v>
      </c>
      <c r="M28" s="163" t="n">
        <v>-0.0022508998054788787</v>
      </c>
      <c r="N28" s="166"/>
      <c r="O28" s="35"/>
      <c r="P28" s="165"/>
      <c r="Q28" s="161" t="n">
        <v>45254.0</v>
      </c>
      <c r="R28" s="161"/>
      <c r="S28" s="164" t="n">
        <v>0.673894</v>
      </c>
      <c r="T28" s="164" t="n">
        <v>1.871934</v>
      </c>
      <c r="U28" s="166"/>
      <c r="V28" s="35"/>
    </row>
    <row r="29" spans="1:22" x14ac:dyDescent="0.2">
      <c r="A29" s="35"/>
      <c r="B29" s="167"/>
      <c r="C29" s="168"/>
      <c r="D29" s="168"/>
      <c r="E29" s="168"/>
      <c r="F29" s="169"/>
      <c r="G29" s="35"/>
      <c r="H29" s="165"/>
      <c r="I29" s="157" t="n">
        <v>45257.0</v>
      </c>
      <c r="J29" s="157"/>
      <c r="K29" s="159" t="n">
        <v>0.01836158192090398</v>
      </c>
      <c r="L29" s="159" t="n">
        <v>6.707158847512051E-4</v>
      </c>
      <c r="M29" s="159" t="n">
        <v>-0.008273400317994173</v>
      </c>
      <c r="N29" s="166"/>
      <c r="O29" s="35"/>
      <c r="P29" s="165"/>
      <c r="Q29" s="157" t="n">
        <v>45257.0</v>
      </c>
      <c r="R29" s="157"/>
      <c r="S29" s="160" t="n">
        <v>0.683372</v>
      </c>
      <c r="T29" s="160" t="n">
        <v>1.861188</v>
      </c>
      <c r="U29" s="166"/>
      <c r="V29" s="35"/>
    </row>
    <row r="30" spans="1:22" x14ac:dyDescent="0.2">
      <c r="A30" s="35"/>
      <c r="B30" s="35"/>
      <c r="C30" s="35"/>
      <c r="D30" s="35"/>
      <c r="E30" s="35"/>
      <c r="F30" s="35"/>
      <c r="G30" s="35"/>
      <c r="H30" s="165"/>
      <c r="I30" s="161" t="n">
        <v>45258.0</v>
      </c>
      <c r="J30" s="161"/>
      <c r="K30" s="163" t="n">
        <v>0.021186440677966045</v>
      </c>
      <c r="L30" s="163" t="n">
        <v>0.0016515004244201936</v>
      </c>
      <c r="M30" s="163" t="n">
        <v>-0.020081691027178827</v>
      </c>
      <c r="N30" s="166"/>
      <c r="O30" s="35"/>
      <c r="P30" s="165"/>
      <c r="Q30" s="161" t="n">
        <v>45258.0</v>
      </c>
      <c r="R30" s="161"/>
      <c r="S30" s="164" t="n">
        <v>0.685268</v>
      </c>
      <c r="T30" s="164" t="n">
        <v>1.849566</v>
      </c>
      <c r="U30" s="166"/>
      <c r="V30" s="35"/>
    </row>
    <row r="31" spans="1:22" x14ac:dyDescent="0.2">
      <c r="A31" s="35"/>
      <c r="B31" s="35"/>
      <c r="C31" s="35"/>
      <c r="D31" s="35"/>
      <c r="E31" s="35"/>
      <c r="F31" s="35"/>
      <c r="G31" s="35"/>
      <c r="H31" s="165"/>
      <c r="I31" s="157" t="n">
        <v>45259.0</v>
      </c>
      <c r="J31" s="157"/>
      <c r="K31" s="159" t="n">
        <v>0.039548022598870025</v>
      </c>
      <c r="L31" s="159" t="n">
        <v>7.037019118700805E-4</v>
      </c>
      <c r="M31" s="159" t="n">
        <v>-0.009852416272797093</v>
      </c>
      <c r="N31" s="166"/>
      <c r="O31" s="35"/>
      <c r="P31" s="165"/>
      <c r="Q31" s="157" t="n">
        <v>45259.0</v>
      </c>
      <c r="R31" s="157"/>
      <c r="S31" s="160" t="n">
        <v>0.697589</v>
      </c>
      <c r="T31" s="160" t="n">
        <v>1.874091</v>
      </c>
      <c r="U31" s="166"/>
      <c r="V31" s="35"/>
    </row>
    <row r="32" spans="1:22" x14ac:dyDescent="0.2">
      <c r="A32" s="35"/>
      <c r="B32" s="35"/>
      <c r="C32" s="35"/>
      <c r="D32" s="35"/>
      <c r="E32" s="35"/>
      <c r="F32" s="35"/>
      <c r="G32" s="35"/>
      <c r="H32" s="165"/>
      <c r="I32" s="161" t="n">
        <v>45260.0</v>
      </c>
      <c r="J32" s="161"/>
      <c r="K32" s="163" t="n">
        <v>0.006355932203389925</v>
      </c>
      <c r="L32" s="163" t="n">
        <v>0.004490497825121231</v>
      </c>
      <c r="M32" s="163" t="n">
        <v>-0.014437612144308276</v>
      </c>
      <c r="N32" s="166"/>
      <c r="O32" s="35"/>
      <c r="P32" s="165"/>
      <c r="Q32" s="161" t="n">
        <v>45260.0</v>
      </c>
      <c r="R32" s="161"/>
      <c r="S32" s="164" t="n">
        <v>0.675316</v>
      </c>
      <c r="T32" s="164" t="n">
        <v>1.861844</v>
      </c>
      <c r="U32" s="166"/>
      <c r="V32" s="35"/>
    </row>
    <row r="33" spans="1:22" x14ac:dyDescent="0.2">
      <c r="A33" s="35"/>
      <c r="B33" s="35"/>
      <c r="C33" s="35"/>
      <c r="D33" s="35"/>
      <c r="E33" s="35"/>
      <c r="F33" s="35"/>
      <c r="G33" s="35"/>
      <c r="H33" s="165"/>
      <c r="I33" s="157" t="n">
        <v>45261.0</v>
      </c>
      <c r="J33" s="157"/>
      <c r="K33" s="159" t="n">
        <v>0.03177966101694918</v>
      </c>
      <c r="L33" s="159" t="n">
        <v>0.010390598542457496</v>
      </c>
      <c r="M33" s="159" t="n">
        <v>-0.004862806186558322</v>
      </c>
      <c r="N33" s="166"/>
      <c r="O33" s="35"/>
      <c r="P33" s="165"/>
      <c r="Q33" s="157" t="n">
        <v>45261.0</v>
      </c>
      <c r="R33" s="157"/>
      <c r="S33" s="160" t="n">
        <v>0.692376</v>
      </c>
      <c r="T33" s="160" t="n">
        <v>1.878457</v>
      </c>
      <c r="U33" s="166"/>
      <c r="V33" s="35"/>
    </row>
    <row r="34" spans="1:22" x14ac:dyDescent="0.2">
      <c r="A34" s="35"/>
      <c r="B34" s="35"/>
      <c r="C34" s="35"/>
      <c r="D34" s="35"/>
      <c r="E34" s="35"/>
      <c r="F34" s="35"/>
      <c r="G34" s="35"/>
      <c r="H34" s="165"/>
      <c r="I34" s="161" t="n">
        <v>45264.0</v>
      </c>
      <c r="J34" s="161"/>
      <c r="K34" s="163" t="n">
        <v>0.044491525423728806</v>
      </c>
      <c r="L34" s="163" t="n">
        <v>0.004925913383090785</v>
      </c>
      <c r="M34" s="163" t="n">
        <v>-0.011829463974957433</v>
      </c>
      <c r="N34" s="166"/>
      <c r="O34" s="35"/>
      <c r="P34" s="165"/>
      <c r="Q34" s="161" t="n">
        <v>45264.0</v>
      </c>
      <c r="R34" s="161"/>
      <c r="S34" s="164" t="n">
        <v>0.700907</v>
      </c>
      <c r="T34" s="164" t="n">
        <v>1.86336</v>
      </c>
      <c r="U34" s="166"/>
      <c r="V34" s="35"/>
    </row>
    <row r="35" spans="1:22" x14ac:dyDescent="0.2">
      <c r="A35" s="35"/>
      <c r="B35" s="35"/>
      <c r="C35" s="35"/>
      <c r="D35" s="35"/>
      <c r="E35" s="35"/>
      <c r="F35" s="35"/>
      <c r="G35" s="35"/>
      <c r="H35" s="165"/>
      <c r="I35" s="157" t="n">
        <v>45265.0</v>
      </c>
      <c r="J35" s="157"/>
      <c r="K35" s="159" t="n">
        <v>-0.006355932203389814</v>
      </c>
      <c r="L35" s="159" t="n">
        <v>0.004354155579696428</v>
      </c>
      <c r="M35" s="159" t="n">
        <v>-0.05936493899606954</v>
      </c>
      <c r="N35" s="166"/>
      <c r="O35" s="35"/>
      <c r="P35" s="165"/>
      <c r="Q35" s="157" t="n">
        <v>45265.0</v>
      </c>
      <c r="R35" s="157"/>
      <c r="S35" s="160" t="n">
        <v>0.666786</v>
      </c>
      <c r="T35" s="160" t="n">
        <v>1.820294</v>
      </c>
      <c r="U35" s="166"/>
      <c r="V35" s="35"/>
    </row>
    <row r="36" spans="1:22" x14ac:dyDescent="0.2">
      <c r="A36" s="35"/>
      <c r="B36" s="35"/>
      <c r="C36" s="35"/>
      <c r="D36" s="35"/>
      <c r="E36" s="35"/>
      <c r="F36" s="35"/>
      <c r="G36" s="35"/>
      <c r="H36" s="165"/>
      <c r="I36" s="161" t="n">
        <v>45266.0</v>
      </c>
      <c r="J36" s="161"/>
      <c r="K36" s="163" t="n">
        <v>0.0021186440677964935</v>
      </c>
      <c r="L36" s="163" t="n">
        <v>4.3101742102047425E-4</v>
      </c>
      <c r="M36" s="163" t="n">
        <v>-0.04124996849973872</v>
      </c>
      <c r="N36" s="166"/>
      <c r="O36" s="35"/>
      <c r="P36" s="165"/>
      <c r="Q36" s="161" t="n">
        <v>45266.0</v>
      </c>
      <c r="R36" s="161"/>
      <c r="S36" s="164" t="n">
        <v>0.672472</v>
      </c>
      <c r="T36" s="164" t="n">
        <v>1.832007</v>
      </c>
      <c r="U36" s="166"/>
      <c r="V36" s="35"/>
    </row>
    <row r="37" spans="1:22" x14ac:dyDescent="0.2">
      <c r="A37" s="35"/>
      <c r="B37" s="35"/>
      <c r="C37" s="35"/>
      <c r="D37" s="35"/>
      <c r="E37" s="35"/>
      <c r="F37" s="35"/>
      <c r="G37" s="35"/>
      <c r="H37" s="165"/>
      <c r="I37" s="157" t="n">
        <v>45267.0</v>
      </c>
      <c r="J37" s="157"/>
      <c r="K37" s="159" t="n">
        <v>0.03601694915254239</v>
      </c>
      <c r="L37" s="159" t="n">
        <v>0.008402640641424375</v>
      </c>
      <c r="M37" s="159" t="n">
        <v>-0.021128559930819635</v>
      </c>
      <c r="N37" s="166"/>
      <c r="O37" s="35"/>
      <c r="P37" s="165"/>
      <c r="Q37" s="157" t="n">
        <v>45267.0</v>
      </c>
      <c r="R37" s="157"/>
      <c r="S37" s="160" t="n">
        <v>0.69522</v>
      </c>
      <c r="T37" s="160" t="n">
        <v>1.870426</v>
      </c>
      <c r="U37" s="166"/>
      <c r="V37" s="35"/>
    </row>
    <row r="38" spans="1:22" x14ac:dyDescent="0.2">
      <c r="A38" s="35"/>
      <c r="B38" s="35"/>
      <c r="C38" s="35"/>
      <c r="D38" s="35"/>
      <c r="E38" s="35"/>
      <c r="F38" s="35"/>
      <c r="G38" s="35"/>
      <c r="H38" s="165"/>
      <c r="I38" s="161" t="n">
        <v>45268.0</v>
      </c>
      <c r="J38" s="161"/>
      <c r="K38" s="163" t="n">
        <v>0.038841807909604675</v>
      </c>
      <c r="L38" s="163" t="n">
        <v>0.012532491236712184</v>
      </c>
      <c r="M38" s="163" t="n">
        <v>-0.0035469216483489108</v>
      </c>
      <c r="N38" s="166"/>
      <c r="O38" s="35"/>
      <c r="P38" s="165"/>
      <c r="Q38" s="161" t="n">
        <v>45268.0</v>
      </c>
      <c r="R38" s="161"/>
      <c r="S38" s="164" t="n">
        <v>0.697116</v>
      </c>
      <c r="T38" s="164" t="n">
        <v>1.903647</v>
      </c>
      <c r="U38" s="166"/>
      <c r="V38" s="35"/>
    </row>
    <row r="39" spans="1:22" x14ac:dyDescent="0.2">
      <c r="A39" s="35"/>
      <c r="B39" s="35"/>
      <c r="C39" s="35"/>
      <c r="D39" s="35"/>
      <c r="E39" s="35"/>
      <c r="F39" s="35"/>
      <c r="G39" s="35"/>
      <c r="H39" s="165"/>
      <c r="I39" s="157" t="n">
        <v>45271.0</v>
      </c>
      <c r="J39" s="157"/>
      <c r="K39" s="159" t="n">
        <v>0.07274011299435013</v>
      </c>
      <c r="L39" s="159" t="n">
        <v>0.016506207970303777</v>
      </c>
      <c r="M39" s="159" t="n">
        <v>-0.0010895165141882046</v>
      </c>
      <c r="N39" s="166"/>
      <c r="O39" s="35"/>
      <c r="P39" s="165"/>
      <c r="Q39" s="157" t="n">
        <v>45271.0</v>
      </c>
      <c r="R39" s="157"/>
      <c r="S39" s="160" t="n">
        <v>0.719863</v>
      </c>
      <c r="T39" s="160" t="n">
        <v>1.915597</v>
      </c>
      <c r="U39" s="166"/>
      <c r="V39" s="35"/>
    </row>
    <row r="40" spans="1:22" x14ac:dyDescent="0.2">
      <c r="A40" s="35"/>
      <c r="B40" s="35"/>
      <c r="C40" s="35"/>
      <c r="D40" s="35"/>
      <c r="E40" s="35"/>
      <c r="F40" s="35"/>
      <c r="G40" s="35"/>
      <c r="H40" s="165"/>
      <c r="I40" s="161" t="n">
        <v>45272.0</v>
      </c>
      <c r="J40" s="161"/>
      <c r="K40" s="163" t="n">
        <v>0.06073446327683607</v>
      </c>
      <c r="L40" s="163" t="n">
        <v>0.0211814275472908</v>
      </c>
      <c r="M40" s="163" t="n">
        <v>-0.0022353510074237803</v>
      </c>
      <c r="N40" s="166"/>
      <c r="O40" s="35"/>
      <c r="P40" s="165"/>
      <c r="Q40" s="161" t="n">
        <v>45272.0</v>
      </c>
      <c r="R40" s="161"/>
      <c r="S40" s="164" t="n">
        <v>0.711807</v>
      </c>
      <c r="T40" s="164" t="n">
        <v>1.920164</v>
      </c>
      <c r="U40" s="166"/>
      <c r="V40" s="35"/>
    </row>
    <row r="41" spans="1:22" x14ac:dyDescent="0.2">
      <c r="A41" s="35"/>
      <c r="B41" s="35"/>
      <c r="C41" s="35"/>
      <c r="D41" s="35"/>
      <c r="E41" s="35"/>
      <c r="F41" s="35"/>
      <c r="G41" s="35"/>
      <c r="H41" s="165"/>
      <c r="I41" s="157" t="n">
        <v>45273.0</v>
      </c>
      <c r="J41" s="157"/>
      <c r="K41" s="159" t="n">
        <v>0.08615819209039553</v>
      </c>
      <c r="L41" s="159" t="n">
        <v>0.035121322607743366</v>
      </c>
      <c r="M41" s="159" t="n">
        <v>-0.0026366975720431007</v>
      </c>
      <c r="N41" s="166"/>
      <c r="O41" s="35"/>
      <c r="P41" s="165"/>
      <c r="Q41" s="157" t="n">
        <v>45273.0</v>
      </c>
      <c r="R41" s="157"/>
      <c r="S41" s="160" t="n">
        <v>0.728867</v>
      </c>
      <c r="T41" s="160" t="n">
        <v>1.903856</v>
      </c>
      <c r="U41" s="166"/>
      <c r="V41" s="35"/>
    </row>
    <row r="42" spans="1:22" x14ac:dyDescent="0.2">
      <c r="A42" s="35"/>
      <c r="B42" s="35"/>
      <c r="C42" s="35"/>
      <c r="D42" s="35"/>
      <c r="E42" s="35"/>
      <c r="F42" s="35"/>
      <c r="G42" s="35"/>
      <c r="H42" s="165"/>
      <c r="I42" s="161" t="n">
        <v>45274.0</v>
      </c>
      <c r="J42" s="161"/>
      <c r="K42" s="163" t="n">
        <v>0.08403954802259882</v>
      </c>
      <c r="L42" s="163" t="n">
        <v>0.03786136192708778</v>
      </c>
      <c r="M42" s="163" t="n">
        <v>-0.003087977209873527</v>
      </c>
      <c r="N42" s="166"/>
      <c r="O42" s="35"/>
      <c r="P42" s="165"/>
      <c r="Q42" s="161" t="n">
        <v>45274.0</v>
      </c>
      <c r="R42" s="161"/>
      <c r="S42" s="164" t="n">
        <v>0.727445</v>
      </c>
      <c r="T42" s="164" t="n">
        <v>1.907607</v>
      </c>
      <c r="U42" s="166"/>
      <c r="V42" s="35"/>
    </row>
    <row r="43" spans="1:22" x14ac:dyDescent="0.2">
      <c r="A43" s="35"/>
      <c r="B43" s="35"/>
      <c r="C43" s="35"/>
      <c r="D43" s="35"/>
      <c r="E43" s="35"/>
      <c r="F43" s="35"/>
      <c r="G43" s="35"/>
      <c r="H43" s="165"/>
      <c r="I43" s="157" t="n">
        <v>45275.0</v>
      </c>
      <c r="J43" s="157"/>
      <c r="K43" s="159" t="n">
        <v>0.07980225988700562</v>
      </c>
      <c r="L43" s="159" t="n">
        <v>0.03778219546200212</v>
      </c>
      <c r="M43" s="159" t="n">
        <v>-0.018297388963563255</v>
      </c>
      <c r="N43" s="166"/>
      <c r="O43" s="35"/>
      <c r="P43" s="165"/>
      <c r="Q43" s="157" t="n">
        <v>45275.0</v>
      </c>
      <c r="R43" s="157"/>
      <c r="S43" s="160" t="n">
        <v>0.724602</v>
      </c>
      <c r="T43" s="160" t="n">
        <v>1.873393</v>
      </c>
      <c r="U43" s="166"/>
      <c r="V43" s="35"/>
    </row>
    <row r="44" spans="1:22" x14ac:dyDescent="0.2">
      <c r="A44" s="35"/>
      <c r="B44" s="35"/>
      <c r="C44" s="35"/>
      <c r="D44" s="35"/>
      <c r="E44" s="35"/>
      <c r="F44" s="35"/>
      <c r="G44" s="35"/>
      <c r="H44" s="165"/>
      <c r="I44" s="161" t="n">
        <v>45278.0</v>
      </c>
      <c r="J44" s="161"/>
      <c r="K44" s="163" t="n">
        <v>0.052966101694915224</v>
      </c>
      <c r="L44" s="163" t="n">
        <v>0.04248160479221008</v>
      </c>
      <c r="M44" s="163" t="n">
        <v>-0.0036135253021364333</v>
      </c>
      <c r="N44" s="166"/>
      <c r="O44" s="35"/>
      <c r="P44" s="165"/>
      <c r="Q44" s="161" t="n">
        <v>45278.0</v>
      </c>
      <c r="R44" s="161"/>
      <c r="S44" s="164" t="n">
        <v>0.706594</v>
      </c>
      <c r="T44" s="164" t="n">
        <v>1.893505</v>
      </c>
      <c r="U44" s="166"/>
      <c r="V44" s="35"/>
    </row>
    <row r="45" spans="1:22" x14ac:dyDescent="0.2">
      <c r="A45" s="35"/>
      <c r="B45" s="35"/>
      <c r="C45" s="35"/>
      <c r="D45" s="35"/>
      <c r="E45" s="35"/>
      <c r="F45" s="35"/>
      <c r="G45" s="35"/>
      <c r="H45" s="165"/>
      <c r="I45" s="157" t="n">
        <v>45279.0</v>
      </c>
      <c r="J45" s="157"/>
      <c r="K45" s="159" t="n">
        <v>0.05437853107344637</v>
      </c>
      <c r="L45" s="159" t="n">
        <v>0.04859721422005636</v>
      </c>
      <c r="M45" s="159" t="n">
        <v>0.006339737018738134</v>
      </c>
      <c r="N45" s="166"/>
      <c r="O45" s="35"/>
      <c r="P45" s="165"/>
      <c r="Q45" s="157" t="n">
        <v>45279.0</v>
      </c>
      <c r="R45" s="157"/>
      <c r="S45" s="160" t="n">
        <v>0.707541</v>
      </c>
      <c r="T45" s="160" t="n">
        <v>1.911234</v>
      </c>
      <c r="U45" s="166"/>
      <c r="V45" s="35"/>
    </row>
    <row r="46" spans="1:22" x14ac:dyDescent="0.2">
      <c r="A46" s="35"/>
      <c r="B46" s="35"/>
      <c r="C46" s="35"/>
      <c r="D46" s="35"/>
      <c r="E46" s="35"/>
      <c r="F46" s="35"/>
      <c r="G46" s="35"/>
      <c r="H46" s="165"/>
      <c r="I46" s="161" t="n">
        <v>45280.0</v>
      </c>
      <c r="J46" s="161"/>
      <c r="K46" s="163" t="n">
        <v>-0.0014124293785310327</v>
      </c>
      <c r="L46" s="163" t="n">
        <v>0.03319933676094822</v>
      </c>
      <c r="M46" s="163" t="n">
        <v>-0.0011443572852659623</v>
      </c>
      <c r="N46" s="166"/>
      <c r="O46" s="35"/>
      <c r="P46" s="165"/>
      <c r="Q46" s="161" t="n">
        <v>45280.0</v>
      </c>
      <c r="R46" s="161"/>
      <c r="S46" s="164" t="n">
        <v>0.670103</v>
      </c>
      <c r="T46" s="164" t="n">
        <v>1.898329</v>
      </c>
      <c r="U46" s="166"/>
      <c r="V46" s="35"/>
    </row>
    <row r="47" spans="1:22" x14ac:dyDescent="0.2">
      <c r="A47" s="35"/>
      <c r="B47" s="35"/>
      <c r="C47" s="35"/>
      <c r="D47" s="35"/>
      <c r="E47" s="35"/>
      <c r="F47" s="35"/>
      <c r="G47" s="35"/>
      <c r="H47" s="165"/>
      <c r="I47" s="157" t="n">
        <v>45281.0</v>
      </c>
      <c r="J47" s="157"/>
      <c r="K47" s="159" t="n">
        <v>0.021892655367231617</v>
      </c>
      <c r="L47" s="159" t="n">
        <v>0.043842828177983684</v>
      </c>
      <c r="M47" s="159" t="n">
        <v>0.020025674561731988</v>
      </c>
      <c r="N47" s="166"/>
      <c r="O47" s="35"/>
      <c r="P47" s="165"/>
      <c r="Q47" s="157" t="n">
        <v>45281.0</v>
      </c>
      <c r="R47" s="157"/>
      <c r="S47" s="160" t="n">
        <v>0.685742</v>
      </c>
      <c r="T47" s="160" t="n">
        <v>1.940318</v>
      </c>
      <c r="U47" s="166"/>
      <c r="V47" s="35"/>
    </row>
    <row r="48" spans="1:22" x14ac:dyDescent="0.2">
      <c r="H48" s="165"/>
      <c r="I48" s="161" t="n">
        <v>45282.0</v>
      </c>
      <c r="J48" s="161"/>
      <c r="K48" s="163" t="n">
        <v>-0.004943502824858781</v>
      </c>
      <c r="L48" s="163" t="n">
        <v>0.04557569413596396</v>
      </c>
      <c r="M48" s="163" t="n">
        <v>0.015281939359867769</v>
      </c>
      <c r="N48" s="166"/>
      <c r="P48" s="165"/>
      <c r="Q48" t="n" s="161">
        <v>45282.0</v>
      </c>
      <c r="R48" s="161"/>
      <c r="S48" s="164" t="n">
        <v>0.667733</v>
      </c>
      <c r="T48" s="164" t="n">
        <v>1.94065</v>
      </c>
      <c r="U48" s="166"/>
    </row>
    <row r="49" spans="9:20" x14ac:dyDescent="0.2">
      <c r="H49" s="165"/>
      <c r="I49" s="157" t="n">
        <v>45286.0</v>
      </c>
      <c r="J49" s="157"/>
      <c r="K49" s="159" t="n">
        <v>-0.017655367231638408</v>
      </c>
      <c r="L49" s="159" t="n">
        <v>0.05000021990684744</v>
      </c>
      <c r="M49" s="159" t="n">
        <v>0.026063811841321005</v>
      </c>
      <c r="N49" s="166"/>
      <c r="P49" s="165"/>
      <c r="Q49" t="n" s="157">
        <v>45286.0</v>
      </c>
      <c r="R49" s="157"/>
      <c r="S49" s="160" t="n">
        <v>0.659203</v>
      </c>
      <c r="T49" s="160" t="n">
        <v>1.962619</v>
      </c>
      <c r="U49" s="166"/>
    </row>
    <row r="50" spans="9:20" x14ac:dyDescent="0.2">
      <c r="H50" s="165"/>
      <c r="I50" s="161" t="n">
        <v>45287.0</v>
      </c>
      <c r="J50" s="161"/>
      <c r="K50" s="163" t="n">
        <v>-0.012005649717514166</v>
      </c>
      <c r="L50" s="163" t="n">
        <v>0.05150218367499515</v>
      </c>
      <c r="M50" s="163" t="n">
        <v>0.028092169682077728</v>
      </c>
      <c r="N50" s="166"/>
      <c r="P50" s="165"/>
      <c r="Q50" t="n" s="161">
        <v>45287.0</v>
      </c>
      <c r="R50" s="161"/>
      <c r="S50" s="164" t="n">
        <v>0.662994</v>
      </c>
      <c r="T50" s="164" t="n">
        <v>1.974434</v>
      </c>
      <c r="U50" s="166"/>
    </row>
    <row r="51" spans="9:20" x14ac:dyDescent="0.2">
      <c r="H51" s="165"/>
      <c r="I51" s="157" t="n">
        <v>45288.0</v>
      </c>
      <c r="J51" s="157"/>
      <c r="K51" s="159" t="n">
        <v>-0.006355932203389814</v>
      </c>
      <c r="L51" s="159" t="n">
        <v>0.05189141879499859</v>
      </c>
      <c r="M51" s="159" t="n">
        <v>0.02314849608218794</v>
      </c>
      <c r="N51" s="166"/>
      <c r="P51" s="165"/>
      <c r="Q51" t="n" s="157">
        <v>45288.0</v>
      </c>
      <c r="R51" s="157"/>
      <c r="S51" s="160" t="n">
        <v>0.666786</v>
      </c>
      <c r="T51" s="160" t="n">
        <v>1.965354</v>
      </c>
      <c r="U51" s="166"/>
    </row>
    <row r="52" spans="9:20" x14ac:dyDescent="0.2">
      <c r="H52" s="165"/>
      <c r="I52" s="161" t="n">
        <v>45289.0</v>
      </c>
      <c r="J52" s="161"/>
      <c r="K52" s="163" t="n">
        <v>-0.004943502824858781</v>
      </c>
      <c r="L52" s="163" t="n">
        <v>0.04891827821734718</v>
      </c>
      <c r="M52" s="163" t="n">
        <v>0.01617136883207193</v>
      </c>
      <c r="N52" s="166"/>
      <c r="P52" s="165"/>
      <c r="Q52" t="n" s="161">
        <v>45289.0</v>
      </c>
      <c r="R52" s="161"/>
      <c r="S52" s="164" t="n">
        <v>0.667733</v>
      </c>
      <c r="T52" s="164" t="n">
        <v>1.947017</v>
      </c>
      <c r="U52" s="166"/>
    </row>
    <row r="53" spans="9:20" x14ac:dyDescent="0.2">
      <c r="H53" s="165"/>
      <c r="I53" s="157" t="n">
        <v>45293.0</v>
      </c>
      <c r="J53" s="157"/>
      <c r="K53" s="159" t="n">
        <v>-0.01412429378531066</v>
      </c>
      <c r="L53" s="159" t="n">
        <v>0.04298079333594296</v>
      </c>
      <c r="M53" s="159" t="n">
        <v>0.004442500356492518</v>
      </c>
      <c r="N53" s="166"/>
      <c r="P53" s="165"/>
      <c r="Q53" t="n" s="157">
        <v>45293.0</v>
      </c>
      <c r="R53" s="157"/>
      <c r="S53" s="160" t="n">
        <v>0.661573</v>
      </c>
      <c r="T53" s="160" t="n">
        <v>1.924382</v>
      </c>
      <c r="U53" s="166"/>
    </row>
    <row r="54" spans="9:20" x14ac:dyDescent="0.2">
      <c r="H54" s="165"/>
      <c r="I54" s="161" t="n">
        <v>45294.0</v>
      </c>
      <c r="J54" s="161"/>
      <c r="K54" s="163" t="n">
        <v>-0.015536723163841804</v>
      </c>
      <c r="L54" s="163" t="n">
        <v>0.03461993499553606</v>
      </c>
      <c r="M54" s="163" t="n">
        <v>-0.012021281327996403</v>
      </c>
      <c r="N54" s="166"/>
      <c r="P54" s="165"/>
      <c r="Q54" t="n" s="161">
        <v>45294.0</v>
      </c>
      <c r="R54" s="161"/>
      <c r="S54" s="164" t="n">
        <v>0.660625</v>
      </c>
      <c r="T54" s="164" t="n">
        <v>1.89627</v>
      </c>
      <c r="U54" s="166"/>
    </row>
    <row r="55" spans="9:20" x14ac:dyDescent="0.2">
      <c r="H55" s="165"/>
      <c r="I55" s="157" t="n">
        <v>45295.0</v>
      </c>
      <c r="J55" s="157"/>
      <c r="K55" s="159" t="n">
        <v>-0.02401129943502822</v>
      </c>
      <c r="L55" s="159" t="n">
        <v>0.03107283754601564</v>
      </c>
      <c r="M55" s="159" t="n">
        <v>-0.018420389097087653</v>
      </c>
      <c r="N55" s="166"/>
      <c r="P55" s="165"/>
      <c r="Q55" t="n" s="157">
        <v>45295.0</v>
      </c>
      <c r="R55" s="157"/>
      <c r="S55" s="160" t="n">
        <v>0.654938</v>
      </c>
      <c r="T55" s="160" t="n">
        <v>1.890754</v>
      </c>
      <c r="U55" s="166"/>
    </row>
    <row r="56" spans="9:20" x14ac:dyDescent="0.2">
      <c r="H56" s="165"/>
      <c r="I56" s="161" t="n">
        <v>45296.0</v>
      </c>
      <c r="J56" s="161"/>
      <c r="K56" s="163" t="n">
        <v>-0.026836158192090398</v>
      </c>
      <c r="L56" s="163" t="n">
        <v>0.03295524016026796</v>
      </c>
      <c r="M56" s="163" t="n">
        <v>-0.010699828939153666</v>
      </c>
      <c r="N56" s="166"/>
      <c r="P56" s="165"/>
      <c r="Q56" t="n" s="161">
        <v>45296.0</v>
      </c>
      <c r="R56" s="161"/>
      <c r="S56" s="164" t="n">
        <v>0.653042</v>
      </c>
      <c r="T56" s="164" t="n">
        <v>1.904104</v>
      </c>
      <c r="U56" s="166"/>
    </row>
    <row r="57" spans="9:20" x14ac:dyDescent="0.2">
      <c r="H57" s="165"/>
      <c r="I57" s="157" t="n">
        <v>45299.0</v>
      </c>
      <c r="J57" s="157"/>
      <c r="K57" s="159" t="n">
        <v>-0.026129943502824937</v>
      </c>
      <c r="L57" s="159" t="n">
        <v>0.04753506414682729</v>
      </c>
      <c r="M57" s="159" t="n">
        <v>0.019567148252572775</v>
      </c>
      <c r="N57" s="166"/>
      <c r="P57" s="165"/>
      <c r="Q57" t="n" s="157">
        <v>45299.0</v>
      </c>
      <c r="R57" s="157"/>
      <c r="S57" s="160" t="n">
        <v>0.653516</v>
      </c>
      <c r="T57" s="160" t="n">
        <v>1.959024</v>
      </c>
      <c r="U57" s="166"/>
    </row>
    <row r="58" spans="9:20" x14ac:dyDescent="0.2">
      <c r="H58" s="165"/>
      <c r="I58" s="161" t="n">
        <v>45300.0</v>
      </c>
      <c r="J58" s="161"/>
      <c r="K58" s="163" t="n">
        <v>-0.035310734463276816</v>
      </c>
      <c r="L58" s="163" t="n">
        <v>0.04598691994071302</v>
      </c>
      <c r="M58" s="163" t="n">
        <v>9.620306031976611E-4</v>
      </c>
      <c r="N58" s="166"/>
      <c r="P58" s="165"/>
      <c r="Q58" t="n" s="161">
        <v>45300.0</v>
      </c>
      <c r="R58" s="161"/>
      <c r="S58" s="164" t="n">
        <v>0.647355</v>
      </c>
      <c r="T58" s="164" t="n">
        <v>1.929255</v>
      </c>
      <c r="U58" s="166"/>
    </row>
    <row r="59" spans="9:20" x14ac:dyDescent="0.2">
      <c r="H59" s="165"/>
      <c r="I59" s="157" t="n">
        <v>45301.0</v>
      </c>
      <c r="J59" s="157"/>
      <c r="K59" s="159" t="n">
        <v>-0.02259887005649719</v>
      </c>
      <c r="L59" s="159" t="n">
        <v>0.05191340947974421</v>
      </c>
      <c r="M59" s="159" t="n">
        <v>-0.013093909826999317</v>
      </c>
      <c r="N59" s="166"/>
      <c r="P59" s="165"/>
      <c r="Q59" t="n" s="157">
        <v>45301.0</v>
      </c>
      <c r="R59" s="157"/>
      <c r="S59" s="160" t="n">
        <v>0.655886</v>
      </c>
      <c r="T59" s="160" t="n">
        <v>1.914129</v>
      </c>
      <c r="U59" s="166"/>
    </row>
    <row r="60" spans="9:20" x14ac:dyDescent="0.2">
      <c r="H60" s="165"/>
      <c r="I60" s="161" t="n">
        <v>45302.0</v>
      </c>
      <c r="J60" s="161"/>
      <c r="K60" s="163" t="n">
        <v>-0.05720338983050855</v>
      </c>
      <c r="L60" s="163" t="n">
        <v>0.05120750849939948</v>
      </c>
      <c r="M60" s="163" t="n">
        <v>-0.02664791292736368</v>
      </c>
      <c r="N60" s="166"/>
      <c r="P60" s="165"/>
      <c r="Q60" t="n" s="161">
        <v>45302.0</v>
      </c>
      <c r="R60" s="161"/>
      <c r="S60" s="164" t="n">
        <v>0.632664</v>
      </c>
      <c r="T60" s="164" t="n">
        <v>1.892131</v>
      </c>
      <c r="U60" s="166"/>
    </row>
    <row r="61" spans="9:20" x14ac:dyDescent="0.2">
      <c r="H61" s="165"/>
      <c r="I61" s="157" t="n">
        <v>45303.0</v>
      </c>
      <c r="J61" s="157"/>
      <c r="K61" s="159" t="n">
        <v>-0.04661016949152542</v>
      </c>
      <c r="L61" s="159" t="n">
        <v>0.051996974081778946</v>
      </c>
      <c r="M61" s="159" t="n">
        <v>-0.02809571905832786</v>
      </c>
      <c r="N61" s="166"/>
      <c r="P61" s="165"/>
      <c r="Q61" t="n" s="157">
        <v>45303.0</v>
      </c>
      <c r="R61" s="157"/>
      <c r="S61" s="160" t="n">
        <v>0.639773</v>
      </c>
      <c r="T61" s="160" t="n">
        <v>1.895181</v>
      </c>
      <c r="U61" s="166"/>
    </row>
    <row r="62" spans="9:20" x14ac:dyDescent="0.2">
      <c r="H62" s="165"/>
      <c r="I62" s="161" t="n">
        <v>45307.0</v>
      </c>
      <c r="J62" s="161"/>
      <c r="K62" s="163" t="n">
        <v>-0.053672316384180796</v>
      </c>
      <c r="L62" s="163" t="n">
        <v>0.04807163685462834</v>
      </c>
      <c r="M62" s="163" t="n">
        <v>-0.042887366244448784</v>
      </c>
      <c r="N62" s="166"/>
      <c r="P62" s="165"/>
      <c r="Q62" t="n" s="161">
        <v>45307.0</v>
      </c>
      <c r="R62" s="161"/>
      <c r="S62" s="164" t="n">
        <v>0.635034</v>
      </c>
      <c r="T62" s="164" t="n">
        <v>1.875741</v>
      </c>
      <c r="U62" s="166"/>
    </row>
    <row r="63" spans="9:20" x14ac:dyDescent="0.2">
      <c r="H63" s="165"/>
      <c r="I63" s="157" t="n">
        <v>45308.0</v>
      </c>
      <c r="J63" s="157"/>
      <c r="K63" s="159" t="n">
        <v>-0.0402542372881356</v>
      </c>
      <c r="L63" s="159" t="n">
        <v>0.04218473054813976</v>
      </c>
      <c r="M63" s="159" t="n">
        <v>-0.04465058842178382</v>
      </c>
      <c r="N63" s="166"/>
      <c r="P63" s="165"/>
      <c r="Q63" t="n" s="157">
        <v>45308.0</v>
      </c>
      <c r="R63" s="157"/>
      <c r="S63" s="160" t="n">
        <v>0.644038</v>
      </c>
      <c r="T63" s="160" t="n">
        <v>1.874562</v>
      </c>
      <c r="U63" s="166"/>
    </row>
    <row r="64" spans="9:20" x14ac:dyDescent="0.2">
      <c r="H64" s="165"/>
      <c r="I64" s="161" t="n">
        <v>45309.0</v>
      </c>
      <c r="J64" s="161"/>
      <c r="K64" s="163" t="n">
        <v>-0.029661016949152574</v>
      </c>
      <c r="L64" s="163" t="n">
        <v>0.051361443292621045</v>
      </c>
      <c r="M64" s="163" t="n">
        <v>-0.0444346140640266</v>
      </c>
      <c r="N64" s="166"/>
      <c r="P64" s="165"/>
      <c r="Q64" t="n" s="161">
        <v>45309.0</v>
      </c>
      <c r="R64" s="161"/>
      <c r="S64" s="164" t="n">
        <v>0.651147</v>
      </c>
      <c r="T64" s="164" t="n">
        <v>1.86614</v>
      </c>
      <c r="U64" s="166"/>
    </row>
    <row r="65" spans="9:20" x14ac:dyDescent="0.2">
      <c r="H65" s="165"/>
      <c r="I65" s="157" t="n">
        <v>45310.0</v>
      </c>
      <c r="J65" s="157"/>
      <c r="K65" s="159" t="n">
        <v>0.006355932203389925</v>
      </c>
      <c r="L65" s="159" t="n">
        <v>0.06430735940255716</v>
      </c>
      <c r="M65" s="159" t="n">
        <v>-0.022272435030283977</v>
      </c>
      <c r="N65" s="166"/>
      <c r="P65" s="165"/>
      <c r="Q65" t="n" s="157">
        <v>45310.0</v>
      </c>
      <c r="R65" s="157"/>
      <c r="S65" s="160" t="n">
        <v>0.675316</v>
      </c>
      <c r="T65" s="160" t="n">
        <v>1.906016</v>
      </c>
      <c r="U65" s="166"/>
    </row>
    <row r="66" spans="9:20" x14ac:dyDescent="0.2">
      <c r="H66" s="165"/>
      <c r="I66" s="161" t="n">
        <v>45313.0</v>
      </c>
      <c r="J66" s="161"/>
      <c r="K66" s="163" t="n">
        <v>0.019067796610169552</v>
      </c>
      <c r="L66" s="163" t="n">
        <v>0.06664277012257602</v>
      </c>
      <c r="M66" s="163" t="n">
        <v>-0.010687436846072762</v>
      </c>
      <c r="N66" s="166"/>
      <c r="P66" s="165"/>
      <c r="Q66" t="n" s="161">
        <v>45313.0</v>
      </c>
      <c r="R66" s="161"/>
      <c r="S66" s="164" t="n">
        <v>0.683846</v>
      </c>
      <c r="T66" s="164" t="n">
        <v>1.930141</v>
      </c>
      <c r="U66" s="166"/>
    </row>
    <row r="67" spans="9:20" x14ac:dyDescent="0.2">
      <c r="H67" s="165"/>
      <c r="I67" s="157" t="n">
        <v>45314.0</v>
      </c>
      <c r="J67" s="157"/>
      <c r="K67" s="159" t="n">
        <v>0.006355932203389925</v>
      </c>
      <c r="L67" s="159" t="n">
        <v>0.06975885015107597</v>
      </c>
      <c r="M67" s="159" t="n">
        <v>0.0025566273842985154</v>
      </c>
      <c r="N67" s="166"/>
      <c r="P67" s="165"/>
      <c r="Q67" t="n" s="157">
        <v>45314.0</v>
      </c>
      <c r="R67" s="157"/>
      <c r="S67" s="160" t="n">
        <v>0.675316</v>
      </c>
      <c r="T67" s="160" t="n">
        <v>1.959793</v>
      </c>
      <c r="U67" s="166"/>
    </row>
    <row r="68" spans="9:20" x14ac:dyDescent="0.2">
      <c r="H68" s="165"/>
      <c r="I68" s="161" t="n">
        <v>45315.0</v>
      </c>
      <c r="J68" s="161"/>
      <c r="K68" s="163" t="n">
        <v>-0.016242937853107375</v>
      </c>
      <c r="L68" s="163" t="n">
        <v>0.07062748219854065</v>
      </c>
      <c r="M68" s="163" t="n">
        <v>2.3324417445014234E-4</v>
      </c>
      <c r="N68" s="166"/>
      <c r="P68" s="165"/>
      <c r="Q68" t="n" s="161">
        <v>45315.0</v>
      </c>
      <c r="R68" s="161"/>
      <c r="S68" s="164" t="n">
        <v>0.660151</v>
      </c>
      <c r="T68" s="164" t="n">
        <v>1.953967</v>
      </c>
      <c r="U68" s="166"/>
    </row>
    <row r="69" spans="9:20" x14ac:dyDescent="0.2">
      <c r="H69" s="165"/>
      <c r="I69" s="157" t="n">
        <v>45316.0</v>
      </c>
      <c r="J69" s="157"/>
      <c r="K69" s="159" t="n">
        <v>-0.006355932203389814</v>
      </c>
      <c r="L69" s="159" t="n">
        <v>0.07625929656197639</v>
      </c>
      <c r="M69" s="159" t="n">
        <v>0.013877617774392226</v>
      </c>
      <c r="N69" s="166"/>
      <c r="P69" s="165"/>
      <c r="Q69" t="n" s="157">
        <v>45316.0</v>
      </c>
      <c r="R69" s="157"/>
      <c r="S69" s="160" t="n">
        <v>0.666786</v>
      </c>
      <c r="T69" s="160" t="n">
        <v>1.971985</v>
      </c>
      <c r="U69" s="166"/>
    </row>
    <row r="70" spans="9:20" x14ac:dyDescent="0.2">
      <c r="H70" s="165"/>
      <c r="I70" s="161" t="n">
        <v>45317.0</v>
      </c>
      <c r="J70" s="161"/>
      <c r="K70" s="163" t="n">
        <v>0.007062146892655274</v>
      </c>
      <c r="L70" s="163" t="n">
        <v>0.07555779371858073</v>
      </c>
      <c r="M70" s="163" t="n">
        <v>0.008590510765233761</v>
      </c>
      <c r="N70" s="166"/>
      <c r="P70" s="165"/>
      <c r="Q70" t="n" s="161">
        <v>45317.0</v>
      </c>
      <c r="R70" s="161"/>
      <c r="S70" s="164" t="n">
        <v>0.67579</v>
      </c>
      <c r="T70" s="164" t="n">
        <v>1.952691</v>
      </c>
      <c r="U70" s="166"/>
    </row>
    <row r="71" spans="9:20" x14ac:dyDescent="0.2">
      <c r="H71" s="165"/>
      <c r="I71" s="157" t="n">
        <v>45320.0</v>
      </c>
      <c r="J71" s="157"/>
      <c r="K71" s="159" t="n">
        <v>0.019067796610169552</v>
      </c>
      <c r="L71" s="159" t="n">
        <v>0.08368555080068084</v>
      </c>
      <c r="M71" s="159" t="n">
        <v>0.027186154651368755</v>
      </c>
      <c r="N71" s="166"/>
      <c r="P71" s="165"/>
      <c r="Q71" t="n" s="157">
        <v>45320.0</v>
      </c>
      <c r="R71" s="157"/>
      <c r="S71" s="160" t="n">
        <v>0.683846</v>
      </c>
      <c r="T71" s="160" t="n">
        <v>1.985923</v>
      </c>
      <c r="U71" s="166"/>
    </row>
    <row r="72" spans="9:20" x14ac:dyDescent="0.2">
      <c r="H72" s="165"/>
      <c r="I72" s="161" t="n">
        <v>45321.0</v>
      </c>
      <c r="J72" s="161"/>
      <c r="K72" s="163" t="n">
        <v>-0.016242937853107375</v>
      </c>
      <c r="L72" s="163" t="n">
        <v>0.08303462653220105</v>
      </c>
      <c r="M72" s="163" t="n">
        <v>0.026880215749784275</v>
      </c>
      <c r="N72" s="166"/>
      <c r="P72" s="165"/>
      <c r="Q72" t="n" s="161">
        <v>45321.0</v>
      </c>
      <c r="R72" s="161"/>
      <c r="S72" s="164" t="n">
        <v>0.660151</v>
      </c>
      <c r="T72" s="164" t="n">
        <v>1.987527</v>
      </c>
      <c r="U72" s="166"/>
    </row>
    <row r="73" spans="9:20" x14ac:dyDescent="0.2">
      <c r="H73" s="165"/>
      <c r="I73" s="157" t="n">
        <v>45322.0</v>
      </c>
      <c r="J73" s="157"/>
      <c r="K73" s="159" t="n">
        <v>-0.02330508474576276</v>
      </c>
      <c r="L73" s="159" t="n">
        <v>0.06559161539171998</v>
      </c>
      <c r="M73" s="159" t="n">
        <v>0.012623271756125432</v>
      </c>
      <c r="N73" s="166"/>
      <c r="P73" s="165"/>
      <c r="Q73" t="n" s="157">
        <v>45322.0</v>
      </c>
      <c r="R73" s="157"/>
      <c r="S73" s="160" t="n">
        <v>0.655412</v>
      </c>
      <c r="T73" s="160" t="n">
        <v>1.95099</v>
      </c>
      <c r="U73" s="166"/>
    </row>
    <row r="74" spans="9:20" x14ac:dyDescent="0.2">
      <c r="H74" s="165"/>
      <c r="I74" s="161" t="n">
        <v>45323.0</v>
      </c>
      <c r="J74" s="161"/>
      <c r="K74" s="163" t="n">
        <v>-0.021892655367231728</v>
      </c>
      <c r="L74" s="163" t="n">
        <v>0.07890477593691303</v>
      </c>
      <c r="M74" s="163" t="n">
        <v>0.02937667583445225</v>
      </c>
      <c r="N74" s="166"/>
      <c r="P74" s="165"/>
      <c r="Q74" t="n" s="161">
        <v>45323.0</v>
      </c>
      <c r="R74" s="161"/>
      <c r="S74" s="164" t="n">
        <v>0.65636</v>
      </c>
      <c r="T74" s="164" t="n">
        <v>1.97954</v>
      </c>
      <c r="U74" s="166"/>
    </row>
    <row r="75" spans="9:20" x14ac:dyDescent="0.2">
      <c r="H75" s="165"/>
      <c r="I75" s="157" t="n">
        <v>45324.0</v>
      </c>
      <c r="J75" s="157"/>
      <c r="K75" s="159" t="n">
        <v>-0.004237288135593209</v>
      </c>
      <c r="L75" s="159" t="n">
        <v>0.09043229288073572</v>
      </c>
      <c r="M75" s="159" t="n">
        <v>0.011238847164869892</v>
      </c>
      <c r="N75" s="166"/>
      <c r="P75" s="165"/>
      <c r="Q75" t="n" s="157">
        <v>45324.0</v>
      </c>
      <c r="R75" s="157"/>
      <c r="S75" s="160" t="n">
        <v>0.668207</v>
      </c>
      <c r="T75" s="160" t="n">
        <v>1.947847</v>
      </c>
      <c r="U75" s="166"/>
    </row>
    <row r="76" spans="9:20" x14ac:dyDescent="0.2">
      <c r="H76" s="165"/>
      <c r="I76" s="161" t="n">
        <v>45327.0</v>
      </c>
      <c r="J76" s="161"/>
      <c r="K76" s="163" t="n">
        <v>-0.015536723163841804</v>
      </c>
      <c r="L76" s="163" t="n">
        <v>0.086957764690877</v>
      </c>
      <c r="M76" s="163" t="n">
        <v>0.03314436657102671</v>
      </c>
      <c r="N76" s="166"/>
      <c r="P76" s="165"/>
      <c r="Q76" t="n" s="161">
        <v>45327.0</v>
      </c>
      <c r="R76" s="161"/>
      <c r="S76" s="164" t="n">
        <v>0.660625</v>
      </c>
      <c r="T76" s="164" t="n">
        <v>2.091185</v>
      </c>
      <c r="U76" s="166"/>
    </row>
    <row r="77" spans="9:20" x14ac:dyDescent="0.2">
      <c r="H77" s="165"/>
      <c r="I77" s="157" t="n">
        <v>45328.0</v>
      </c>
      <c r="J77" s="157"/>
      <c r="K77" s="159" t="n">
        <v>-0.0021186440677966045</v>
      </c>
      <c r="L77" s="159" t="n">
        <v>0.08946910088886328</v>
      </c>
      <c r="M77" s="159" t="n">
        <v>0.04475262550269332</v>
      </c>
      <c r="N77" s="166"/>
      <c r="P77" s="165"/>
      <c r="Q77" t="n" s="157">
        <v>45328.0</v>
      </c>
      <c r="R77" s="157"/>
      <c r="S77" s="160" t="n">
        <v>0.669629</v>
      </c>
      <c r="T77" s="160" t="n">
        <v>2.11473</v>
      </c>
      <c r="U77" s="166"/>
    </row>
    <row r="78" spans="9:20" x14ac:dyDescent="0.2">
      <c r="H78" s="165"/>
      <c r="I78" s="161" t="n">
        <v>45329.0</v>
      </c>
      <c r="J78" s="161"/>
      <c r="K78" s="163" t="n">
        <v>0.0197740112994349</v>
      </c>
      <c r="L78" s="163" t="n">
        <v>0.09844789747063153</v>
      </c>
      <c r="M78" s="163" t="n">
        <v>0.043030584548883644</v>
      </c>
      <c r="N78" s="166"/>
      <c r="P78" s="165"/>
      <c r="Q78" t="n" s="161">
        <v>45329.0</v>
      </c>
      <c r="R78" s="161"/>
      <c r="S78" s="164" t="n">
        <v>0.68432</v>
      </c>
      <c r="T78" s="164" t="n">
        <v>2.108055</v>
      </c>
      <c r="U78" s="166"/>
    </row>
    <row r="79" spans="9:20" x14ac:dyDescent="0.2">
      <c r="H79" s="165"/>
      <c r="I79" s="157" t="n">
        <v>45330.0</v>
      </c>
      <c r="J79" s="157"/>
      <c r="K79" s="159" t="n">
        <v>0.05084745762711873</v>
      </c>
      <c r="L79" s="159" t="n">
        <v>0.09907463198589062</v>
      </c>
      <c r="M79" s="159" t="n">
        <v>0.06509370055568442</v>
      </c>
      <c r="N79" s="166"/>
      <c r="P79" s="165"/>
      <c r="Q79" t="n" s="157">
        <v>45330.0</v>
      </c>
      <c r="R79" s="157"/>
      <c r="S79" s="160" t="n">
        <v>0.705172</v>
      </c>
      <c r="T79" s="160" t="n">
        <v>2.146817</v>
      </c>
      <c r="U79" s="166"/>
    </row>
    <row r="80" spans="9:20" x14ac:dyDescent="0.2">
      <c r="H80" s="165"/>
      <c r="I80" s="161" t="n">
        <v>45331.0</v>
      </c>
      <c r="J80" s="161"/>
      <c r="K80" s="163" t="n">
        <v>0.062146892655367214</v>
      </c>
      <c r="L80" s="163" t="n">
        <v>0.10538595850797595</v>
      </c>
      <c r="M80" s="163" t="n">
        <v>0.06562653005275565</v>
      </c>
      <c r="N80" s="166"/>
      <c r="P80" s="165"/>
      <c r="Q80" t="n" s="161">
        <v>45331.0</v>
      </c>
      <c r="R80" s="161"/>
      <c r="S80" s="164" t="n">
        <v>0.712754</v>
      </c>
      <c r="T80" s="164" t="n">
        <v>2.147347</v>
      </c>
      <c r="U80" s="166"/>
    </row>
    <row r="81" spans="9:20" x14ac:dyDescent="0.2">
      <c r="H81" s="165"/>
      <c r="I81" s="157" t="n">
        <v>45334.0</v>
      </c>
      <c r="J81" s="157"/>
      <c r="K81" s="159" t="n">
        <v>0.0776836158192089</v>
      </c>
      <c r="L81" s="159" t="n">
        <v>0.10433700284559455</v>
      </c>
      <c r="M81" s="159" t="n">
        <v>0.07896311564456404</v>
      </c>
      <c r="N81" s="166"/>
      <c r="P81" s="165"/>
      <c r="Q81" t="n" s="157">
        <v>45334.0</v>
      </c>
      <c r="R81" s="157"/>
      <c r="S81" s="160" t="n">
        <v>0.72318</v>
      </c>
      <c r="T81" s="160" t="n">
        <v>2.164988</v>
      </c>
      <c r="U81" s="166"/>
    </row>
    <row r="82" spans="9:20" x14ac:dyDescent="0.2">
      <c r="H82" s="165"/>
      <c r="I82" s="161" t="n">
        <v>45335.0</v>
      </c>
      <c r="J82" s="161"/>
      <c r="K82" s="163" t="n">
        <v>0.09110169491525412</v>
      </c>
      <c r="L82" s="163" t="n">
        <v>0.0892359996305565</v>
      </c>
      <c r="M82" s="163" t="n">
        <v>0.054200377688372825</v>
      </c>
      <c r="N82" s="166"/>
      <c r="P82" s="165"/>
      <c r="Q82" t="n" s="161">
        <v>45335.0</v>
      </c>
      <c r="R82" s="161"/>
      <c r="S82" s="164" t="n">
        <v>0.732185</v>
      </c>
      <c r="T82" s="164" t="n">
        <v>2.108412</v>
      </c>
      <c r="U82" s="166"/>
    </row>
    <row r="83" spans="9:20" x14ac:dyDescent="0.2">
      <c r="H83" s="165"/>
      <c r="I83" s="157" t="n">
        <v>45336.0</v>
      </c>
      <c r="J83" s="157"/>
      <c r="K83" s="159" t="n">
        <v>0.11440677966101687</v>
      </c>
      <c r="L83" s="159" t="n">
        <v>0.09967057954250569</v>
      </c>
      <c r="M83" s="159" t="n">
        <v>0.07866517667979611</v>
      </c>
      <c r="N83" s="166"/>
      <c r="P83" s="165"/>
      <c r="Q83" t="n" s="157">
        <v>45336.0</v>
      </c>
      <c r="R83" s="157"/>
      <c r="S83" s="160" t="n">
        <v>0.747823</v>
      </c>
      <c r="T83" s="160" t="n">
        <v>2.156157</v>
      </c>
      <c r="U83" s="166"/>
    </row>
    <row r="84" spans="9:20" x14ac:dyDescent="0.2">
      <c r="H84" s="165"/>
      <c r="I84" s="161" t="n">
        <v>45337.0</v>
      </c>
      <c r="J84" s="161"/>
      <c r="K84" s="163" t="n">
        <v>0.16878531073446326</v>
      </c>
      <c r="L84" s="163" t="n">
        <v>0.10607206787204927</v>
      </c>
      <c r="M84" s="163" t="n">
        <v>0.07996833331244368</v>
      </c>
      <c r="N84" s="166"/>
      <c r="P84" s="165"/>
      <c r="Q84" t="n" s="161">
        <v>45337.0</v>
      </c>
      <c r="R84" s="161"/>
      <c r="S84" s="164" t="n">
        <v>0.784314</v>
      </c>
      <c r="T84" s="164" t="n">
        <v>2.169198</v>
      </c>
      <c r="U84" s="166"/>
    </row>
    <row r="85" spans="9:20" x14ac:dyDescent="0.2">
      <c r="H85" s="165"/>
      <c r="I85" s="157" t="n">
        <v>45338.0</v>
      </c>
      <c r="J85" s="157"/>
      <c r="K85" s="159" t="n">
        <v>0.16807909604519763</v>
      </c>
      <c r="L85" s="159" t="n">
        <v>0.10075911843742989</v>
      </c>
      <c r="M85" s="159" t="n">
        <v>0.057969693333794536</v>
      </c>
      <c r="N85" s="166"/>
      <c r="P85" s="165"/>
      <c r="Q85" t="n" s="157">
        <v>45338.0</v>
      </c>
      <c r="R85" s="157"/>
      <c r="S85" s="160" t="n">
        <v>0.8198</v>
      </c>
      <c r="T85" s="160" t="n">
        <v>2.125417</v>
      </c>
      <c r="U85" s="166"/>
    </row>
    <row r="86" spans="9:20" x14ac:dyDescent="0.2">
      <c r="H86" s="165"/>
      <c r="I86" s="161" t="n">
        <v>45342.0</v>
      </c>
      <c r="J86" s="161"/>
      <c r="K86" s="163" t="n">
        <v>0.16031073446327682</v>
      </c>
      <c r="L86" s="163" t="n">
        <v>0.09414871860279984</v>
      </c>
      <c r="M86" s="163" t="n">
        <v>0.06289701298722128</v>
      </c>
      <c r="N86" s="166"/>
      <c r="P86" s="165"/>
      <c r="Q86" t="n" s="161">
        <v>45342.0</v>
      </c>
      <c r="R86" s="161"/>
      <c r="S86" s="164" t="n">
        <v>0.814348</v>
      </c>
      <c r="T86" s="164" t="n">
        <v>2.130019</v>
      </c>
      <c r="U86" s="166"/>
    </row>
    <row r="87" spans="9:20" x14ac:dyDescent="0.2">
      <c r="H87" s="165"/>
      <c r="I87" s="157" t="n">
        <v>45343.0</v>
      </c>
      <c r="J87" s="157"/>
      <c r="K87" s="159" t="n">
        <v>0.15112994350282483</v>
      </c>
      <c r="L87" s="159" t="n">
        <v>0.09553193267331948</v>
      </c>
      <c r="M87" s="159" t="n">
        <v>0.05344384430010418</v>
      </c>
      <c r="N87" s="166"/>
      <c r="P87" s="165"/>
      <c r="Q87" t="n" s="157">
        <v>45343.0</v>
      </c>
      <c r="R87" s="157"/>
      <c r="S87" s="160" t="n">
        <v>0.807904</v>
      </c>
      <c r="T87" s="160" t="n">
        <v>2.112478</v>
      </c>
      <c r="U87" s="166"/>
    </row>
    <row r="88" spans="9:20" x14ac:dyDescent="0.2">
      <c r="H88" s="165"/>
      <c r="I88" s="161" t="n">
        <v>45344.0</v>
      </c>
      <c r="J88" s="161"/>
      <c r="K88" s="163" t="n">
        <v>0.13629943502824848</v>
      </c>
      <c r="L88" s="163" t="n">
        <v>0.11867273023147383</v>
      </c>
      <c r="M88" s="163" t="n">
        <v>0.048091197449976475</v>
      </c>
      <c r="N88" s="166"/>
      <c r="P88" s="165"/>
      <c r="Q88" t="n" s="161">
        <v>45344.0</v>
      </c>
      <c r="R88" s="161"/>
      <c r="S88" s="164" t="n">
        <v>0.797496</v>
      </c>
      <c r="T88" s="164" t="n">
        <v>2.094088</v>
      </c>
      <c r="U88" s="166"/>
    </row>
    <row r="89" spans="9:20" x14ac:dyDescent="0.2">
      <c r="H89" s="165"/>
      <c r="I89" s="157" t="n">
        <v>45345.0</v>
      </c>
      <c r="J89" s="157"/>
      <c r="K89" s="159" t="n">
        <v>0.15042372881355925</v>
      </c>
      <c r="L89" s="159" t="n">
        <v>0.11906196535147708</v>
      </c>
      <c r="M89" s="159" t="n">
        <v>0.04597538000008128</v>
      </c>
      <c r="N89" s="166"/>
      <c r="P89" s="165"/>
      <c r="Q89" t="n" s="157">
        <v>45345.0</v>
      </c>
      <c r="R89" s="157"/>
      <c r="S89" s="160" t="n">
        <v>0.807409</v>
      </c>
      <c r="T89" s="160" t="n">
        <v>2.093536</v>
      </c>
      <c r="U89" s="166"/>
    </row>
    <row r="90" spans="9:20" x14ac:dyDescent="0.2">
      <c r="H90" s="165"/>
      <c r="I90" s="161" t="n">
        <v>45348.0</v>
      </c>
      <c r="J90" s="161"/>
      <c r="K90" s="163" t="n">
        <v>0.13347457627118642</v>
      </c>
      <c r="L90" s="163" t="n">
        <v>0.11482436040093402</v>
      </c>
      <c r="M90" s="163" t="n">
        <v>0.04817384382658774</v>
      </c>
      <c r="N90" s="166"/>
      <c r="P90" s="165"/>
      <c r="Q90" t="n" s="161">
        <v>45348.0</v>
      </c>
      <c r="R90" s="161"/>
      <c r="S90" s="164" t="n">
        <v>0.795513</v>
      </c>
      <c r="T90" s="164" t="n">
        <v>2.102021</v>
      </c>
      <c r="U90" s="166"/>
    </row>
    <row r="91" spans="9:20" x14ac:dyDescent="0.2">
      <c r="H91" s="165"/>
      <c r="I91" s="157" t="n">
        <v>45349.0</v>
      </c>
      <c r="J91" s="157"/>
      <c r="K91" s="159" t="n">
        <v>0.1871468926553672</v>
      </c>
      <c r="L91" s="159" t="n">
        <v>0.11672655463145819</v>
      </c>
      <c r="M91" s="159" t="n">
        <v>0.04772252810265876</v>
      </c>
      <c r="N91" s="166"/>
      <c r="P91" s="165"/>
      <c r="Q91" t="n" s="157">
        <v>45349.0</v>
      </c>
      <c r="R91" s="157"/>
      <c r="S91" s="160" t="n">
        <v>0.833182</v>
      </c>
      <c r="T91" s="160" t="n">
        <v>2.098406</v>
      </c>
      <c r="U91" s="166"/>
    </row>
    <row r="92" spans="9:20" x14ac:dyDescent="0.2">
      <c r="H92" s="165"/>
      <c r="I92" s="161" t="n">
        <v>45350.0</v>
      </c>
      <c r="J92" s="161"/>
      <c r="K92" s="163" t="n">
        <v>0.2139830508474576</v>
      </c>
      <c r="L92" s="163" t="n">
        <v>0.11487493897584988</v>
      </c>
      <c r="M92" s="163" t="n">
        <v>0.04392619146912491</v>
      </c>
      <c r="N92" s="166"/>
      <c r="P92" s="165"/>
      <c r="Q92" t="n" s="161">
        <v>45350.0</v>
      </c>
      <c r="R92" s="161"/>
      <c r="S92" s="164" t="n">
        <v>0.852017</v>
      </c>
      <c r="T92" s="164" t="n">
        <v>2.093972</v>
      </c>
      <c r="U92" s="166"/>
    </row>
    <row r="93" spans="9:20" x14ac:dyDescent="0.2">
      <c r="H93" s="165"/>
      <c r="I93" s="157" t="n">
        <v>45351.0</v>
      </c>
      <c r="J93" s="157"/>
      <c r="K93" s="159" t="n">
        <v>0.22951977401129953</v>
      </c>
      <c r="L93" s="159" t="n">
        <v>0.1207046695019991</v>
      </c>
      <c r="M93" s="159" t="n">
        <v>0.0649619242253423</v>
      </c>
      <c r="N93" s="166"/>
      <c r="P93" s="165"/>
      <c r="Q93" t="n" s="157">
        <v>45351.0</v>
      </c>
      <c r="R93" s="157"/>
      <c r="S93" s="160" t="n">
        <v>0.862921</v>
      </c>
      <c r="T93" s="160" t="n">
        <v>2.391929</v>
      </c>
      <c r="U93" s="166"/>
    </row>
    <row r="94" spans="9:20" x14ac:dyDescent="0.2">
      <c r="H94" s="165"/>
      <c r="I94" s="161" t="n">
        <v>45352.0</v>
      </c>
      <c r="J94" s="161"/>
      <c r="K94" s="163" t="n">
        <v>0.24152542372881336</v>
      </c>
      <c r="L94" s="163" t="n">
        <v>0.1296790679468176</v>
      </c>
      <c r="M94" s="163" t="n">
        <v>0.07156503576997175</v>
      </c>
      <c r="N94" s="166"/>
      <c r="P94" s="165"/>
      <c r="Q94" t="n" s="161">
        <v>45352.0</v>
      </c>
      <c r="R94" s="161"/>
      <c r="S94" s="164" t="n">
        <v>0.871347</v>
      </c>
      <c r="T94" s="164" t="n">
        <v>2.397476</v>
      </c>
      <c r="U94" s="166"/>
    </row>
    <row r="95" spans="9:20" x14ac:dyDescent="0.2">
      <c r="H95" s="165"/>
      <c r="I95" s="157" t="n">
        <v>45355.0</v>
      </c>
      <c r="J95" s="157"/>
      <c r="K95" s="159" t="n">
        <v>0.20833333333333326</v>
      </c>
      <c r="L95" s="159" t="n">
        <v>0.12833103897189146</v>
      </c>
      <c r="M95" s="159" t="n">
        <v>0.09632861428436046</v>
      </c>
      <c r="N95" s="166"/>
      <c r="P95" s="165"/>
      <c r="Q95" t="n" s="157">
        <v>45355.0</v>
      </c>
      <c r="R95" s="157"/>
      <c r="S95" s="160" t="n">
        <v>0.848052</v>
      </c>
      <c r="T95" s="160" t="n">
        <v>2.427262</v>
      </c>
      <c r="U95" s="166"/>
    </row>
    <row r="96" spans="9:20" x14ac:dyDescent="0.2">
      <c r="H96" s="165"/>
      <c r="I96" s="161" t="n">
        <v>45356.0</v>
      </c>
      <c r="J96" s="161"/>
      <c r="K96" s="163" t="n">
        <v>0.2161016949152541</v>
      </c>
      <c r="L96" s="163" t="n">
        <v>0.1168299108497639</v>
      </c>
      <c r="M96" s="163" t="n">
        <v>0.09357467792644168</v>
      </c>
      <c r="N96" s="166"/>
      <c r="P96" s="165"/>
      <c r="Q96" t="n" s="161">
        <v>45356.0</v>
      </c>
      <c r="R96" s="161"/>
      <c r="S96" s="164" t="n">
        <v>0.853504</v>
      </c>
      <c r="T96" s="164" t="n">
        <v>2.416108</v>
      </c>
      <c r="U96" s="166"/>
    </row>
    <row r="97" spans="9:20" x14ac:dyDescent="0.2">
      <c r="H97" s="165"/>
      <c r="I97" s="157" t="n">
        <v>45357.0</v>
      </c>
      <c r="J97" s="157"/>
      <c r="K97" s="159" t="n">
        <v>0.2048022598870056</v>
      </c>
      <c r="L97" s="159" t="n">
        <v>0.12257167863692953</v>
      </c>
      <c r="M97" s="159" t="n">
        <v>0.09366939164631007</v>
      </c>
      <c r="N97" s="166"/>
      <c r="P97" s="165"/>
      <c r="Q97" t="n" s="157">
        <v>45357.0</v>
      </c>
      <c r="R97" s="157"/>
      <c r="S97" s="160" t="n">
        <v>0.845573</v>
      </c>
      <c r="T97" s="160" t="n">
        <v>2.4085</v>
      </c>
      <c r="U97" s="166"/>
    </row>
    <row r="98" spans="9:20" x14ac:dyDescent="0.2">
      <c r="H98" s="165"/>
      <c r="I98" s="161" t="n">
        <v>45358.0</v>
      </c>
      <c r="J98" s="161"/>
      <c r="K98" s="163" t="n">
        <v>0.24646892655367214</v>
      </c>
      <c r="L98" s="163" t="n">
        <v>0.1341387788132946</v>
      </c>
      <c r="M98" s="163" t="n">
        <v>0.12834758416312497</v>
      </c>
      <c r="N98" s="166"/>
      <c r="P98" s="165"/>
      <c r="Q98" t="n" s="161">
        <v>45358.0</v>
      </c>
      <c r="R98" s="161"/>
      <c r="S98" s="164" t="n">
        <v>0.874817</v>
      </c>
      <c r="T98" s="164" t="n">
        <v>2.470897</v>
      </c>
      <c r="U98" s="166"/>
    </row>
    <row r="99" spans="9:20" x14ac:dyDescent="0.2">
      <c r="H99" s="165"/>
      <c r="I99" s="157" t="n">
        <v>45359.0</v>
      </c>
      <c r="J99" s="157"/>
      <c r="K99" s="159" t="n">
        <v>0.21045197740112997</v>
      </c>
      <c r="L99" s="159" t="n">
        <v>0.126734515259336</v>
      </c>
      <c r="M99" s="159" t="n">
        <v>0.10063492021278651</v>
      </c>
      <c r="N99" s="166"/>
      <c r="P99" s="165"/>
      <c r="Q99" t="n" s="157">
        <v>45359.0</v>
      </c>
      <c r="R99" s="157"/>
      <c r="S99" s="160" t="n">
        <v>0.849539</v>
      </c>
      <c r="T99" s="160" t="n">
        <v>2.424268</v>
      </c>
      <c r="U99" s="166"/>
    </row>
    <row r="100" spans="9:20" x14ac:dyDescent="0.2">
      <c r="H100" s="165"/>
      <c r="I100" s="161" t="n">
        <v>45362.0</v>
      </c>
      <c r="J100" s="161"/>
      <c r="K100" s="163" t="n">
        <v>0.24717514124293793</v>
      </c>
      <c r="L100" s="163" t="n">
        <v>0.12547005088644436</v>
      </c>
      <c r="M100" s="163" t="n">
        <v>0.09699662289805433</v>
      </c>
      <c r="N100" s="166"/>
      <c r="P100" s="165"/>
      <c r="Q100" t="n" s="161">
        <v>45362.0</v>
      </c>
      <c r="R100" s="161"/>
      <c r="S100" s="164" t="n">
        <v>0.875312</v>
      </c>
      <c r="T100" s="164" t="n">
        <v>2.421843</v>
      </c>
      <c r="U100" s="166"/>
    </row>
    <row r="101" spans="9:20" x14ac:dyDescent="0.2">
      <c r="H101" s="165"/>
      <c r="I101" s="157" t="n">
        <v>45363.0</v>
      </c>
      <c r="J101" s="157"/>
      <c r="K101" s="159" t="n">
        <v>0.28036723163841804</v>
      </c>
      <c r="L101" s="159" t="n">
        <v>0.1380773104512929</v>
      </c>
      <c r="M101" s="159" t="n">
        <v>0.09636979483157626</v>
      </c>
      <c r="N101" s="166"/>
      <c r="P101" s="165"/>
      <c r="Q101" t="n" s="157">
        <v>45363.0</v>
      </c>
      <c r="R101" s="157"/>
      <c r="S101" s="160" t="n">
        <v>0.898608</v>
      </c>
      <c r="T101" s="160" t="n">
        <v>2.418256</v>
      </c>
      <c r="U101" s="166"/>
    </row>
    <row r="102" spans="9:20" x14ac:dyDescent="0.2">
      <c r="H102" s="165"/>
      <c r="I102" s="161" t="n">
        <v>45364.0</v>
      </c>
      <c r="J102" s="161"/>
      <c r="K102" s="163" t="n">
        <v>0.3326271186440679</v>
      </c>
      <c r="L102" s="163" t="n">
        <v>0.135887038250597</v>
      </c>
      <c r="M102" s="163" t="n">
        <v>0.09435926070585123</v>
      </c>
      <c r="N102" s="166"/>
      <c r="P102" s="165"/>
      <c r="Q102" t="n" s="161">
        <v>45364.0</v>
      </c>
      <c r="R102" s="161"/>
      <c r="S102" s="164" t="n">
        <v>0.935285</v>
      </c>
      <c r="T102" s="164" t="n">
        <v>2.41113</v>
      </c>
      <c r="U102" s="166"/>
    </row>
    <row r="103" spans="9:20" x14ac:dyDescent="0.2">
      <c r="H103" s="165"/>
      <c r="I103" s="157" t="n">
        <v>45365.0</v>
      </c>
      <c r="J103" s="157"/>
      <c r="K103" s="159" t="n">
        <v>0.33121468926553677</v>
      </c>
      <c r="L103" s="159" t="n">
        <v>0.13262581970277387</v>
      </c>
      <c r="M103" s="159" t="n">
        <v>0.09178018559650546</v>
      </c>
      <c r="N103" s="166"/>
      <c r="P103" s="165"/>
      <c r="Q103" t="n" s="157">
        <v>45365.0</v>
      </c>
      <c r="R103" s="157"/>
      <c r="S103" s="160" t="n">
        <v>0.934294</v>
      </c>
      <c r="T103" s="160" t="n">
        <v>2.400639</v>
      </c>
      <c r="U103" s="166"/>
    </row>
    <row r="104" spans="9:20" x14ac:dyDescent="0.2">
      <c r="H104" s="165"/>
      <c r="I104" s="161" t="n">
        <v>45366.0</v>
      </c>
      <c r="J104" s="161"/>
      <c r="K104" s="163" t="n">
        <v>0.2951977401129944</v>
      </c>
      <c r="L104" s="163" t="n">
        <v>0.12528313006610392</v>
      </c>
      <c r="M104" s="163" t="n">
        <v>0.09292274000595935</v>
      </c>
      <c r="N104" s="166"/>
      <c r="P104" s="165"/>
      <c r="Q104" t="n" s="161">
        <v>45366.0</v>
      </c>
      <c r="R104" s="161"/>
      <c r="S104" s="164" t="n">
        <v>0.909016</v>
      </c>
      <c r="T104" s="164" t="n">
        <v>2.4063</v>
      </c>
      <c r="U104" s="166"/>
    </row>
    <row r="105" spans="9:20" x14ac:dyDescent="0.2">
      <c r="H105" s="165"/>
      <c r="I105" s="157" t="n">
        <v>45369.0</v>
      </c>
      <c r="J105" s="157"/>
      <c r="K105" s="159" t="n">
        <v>0.2916666666666665</v>
      </c>
      <c r="L105" s="159" t="n">
        <v>0.13239271844446687</v>
      </c>
      <c r="M105" s="159" t="n">
        <v>0.06887782712095736</v>
      </c>
      <c r="N105" s="166"/>
      <c r="P105" s="165"/>
      <c r="Q105" t="n" s="157">
        <v>45369.0</v>
      </c>
      <c r="R105" s="157"/>
      <c r="S105" s="160" t="n">
        <v>0.906538</v>
      </c>
      <c r="T105" s="160" t="n">
        <v>2.366276</v>
      </c>
      <c r="U105" s="166"/>
    </row>
    <row r="106" spans="9:20" x14ac:dyDescent="0.2">
      <c r="H106" s="165"/>
      <c r="I106" s="161" t="n">
        <v>45370.0</v>
      </c>
      <c r="J106" s="161"/>
      <c r="K106" s="163" t="n">
        <v>0.27330508474576276</v>
      </c>
      <c r="L106" s="163" t="n">
        <v>0.13878980863706136</v>
      </c>
      <c r="M106" s="163" t="n">
        <v>0.07905438534835119</v>
      </c>
      <c r="N106" s="166"/>
      <c r="P106" s="165"/>
      <c r="Q106" t="n" s="161">
        <v>45370.0</v>
      </c>
      <c r="R106" s="161"/>
      <c r="S106" s="164" t="n">
        <v>0.893651</v>
      </c>
      <c r="T106" s="164" t="n">
        <v>2.384969</v>
      </c>
      <c r="U106" s="166"/>
    </row>
    <row r="107" spans="9:20" x14ac:dyDescent="0.2">
      <c r="H107" s="165"/>
      <c r="I107" s="157" t="n">
        <v>45371.0</v>
      </c>
      <c r="J107" s="157"/>
      <c r="K107" s="159" t="n">
        <v>0.2627118644067796</v>
      </c>
      <c r="L107" s="159" t="n">
        <v>0.14892971337341487</v>
      </c>
      <c r="M107" s="159" t="n">
        <v>0.07578725690515231</v>
      </c>
      <c r="N107" s="166"/>
      <c r="P107" s="165"/>
      <c r="Q107" t="n" s="157">
        <v>45371.0</v>
      </c>
      <c r="R107" s="157"/>
      <c r="S107" s="160" t="n">
        <v>0.886216</v>
      </c>
      <c r="T107" s="160" t="n">
        <v>2.379464</v>
      </c>
      <c r="U107" s="166"/>
    </row>
    <row r="108" spans="9:20" x14ac:dyDescent="0.2">
      <c r="H108" s="165"/>
      <c r="I108" s="161" t="n">
        <v>45372.0</v>
      </c>
      <c r="J108" s="161"/>
      <c r="K108" s="163" t="n">
        <v>0.25776836158192085</v>
      </c>
      <c r="L108" s="163" t="n">
        <v>0.15264833816395362</v>
      </c>
      <c r="M108" s="163" t="n">
        <v>0.0789163321036972</v>
      </c>
      <c r="N108" s="166"/>
      <c r="P108" s="165"/>
      <c r="Q108" t="n" s="161">
        <v>45372.0</v>
      </c>
      <c r="R108" s="161"/>
      <c r="S108" s="164" t="n">
        <v>0.882747</v>
      </c>
      <c r="T108" s="164" t="n">
        <v>2.391609</v>
      </c>
      <c r="U108" s="166"/>
    </row>
    <row r="109" spans="9:20" x14ac:dyDescent="0.2">
      <c r="H109" s="165"/>
      <c r="I109" s="157" t="n">
        <v>45373.0</v>
      </c>
      <c r="J109" s="157"/>
      <c r="K109" s="159" t="n">
        <v>0.26906779661016933</v>
      </c>
      <c r="L109" s="159" t="n">
        <v>0.15103202283512718</v>
      </c>
      <c r="M109" s="159" t="n">
        <v>0.06296824338132256</v>
      </c>
      <c r="N109" s="166"/>
      <c r="P109" s="165"/>
      <c r="Q109" t="n" s="157">
        <v>45373.0</v>
      </c>
      <c r="R109" s="157"/>
      <c r="S109" s="160" t="n">
        <v>0.890677</v>
      </c>
      <c r="T109" s="160" t="n">
        <v>2.360466</v>
      </c>
      <c r="U109" s="166"/>
    </row>
    <row r="110" spans="9:20" x14ac:dyDescent="0.2">
      <c r="H110" s="165"/>
      <c r="I110" s="161" t="n">
        <v>45376.0</v>
      </c>
      <c r="J110" s="161"/>
      <c r="K110" s="163" t="n">
        <v>0.2521186440677967</v>
      </c>
      <c r="L110" s="163" t="n">
        <v>0.14751571234425076</v>
      </c>
      <c r="M110" s="163" t="n">
        <v>0.05326301086453711</v>
      </c>
      <c r="N110" s="166"/>
      <c r="P110" s="165"/>
      <c r="Q110" t="n" s="161">
        <v>45376.0</v>
      </c>
      <c r="R110" s="161"/>
      <c r="S110" s="164" t="n">
        <v>0.878782</v>
      </c>
      <c r="T110" s="164" t="n">
        <v>2.342347</v>
      </c>
      <c r="U110" s="166"/>
    </row>
    <row r="111" spans="9:20" x14ac:dyDescent="0.2">
      <c r="H111" s="165"/>
      <c r="I111" s="157" t="n">
        <v>45377.0</v>
      </c>
      <c r="J111" s="157"/>
      <c r="K111" s="159" t="n">
        <v>0.24223163841807918</v>
      </c>
      <c r="L111" s="159" t="n">
        <v>0.14430287330286884</v>
      </c>
      <c r="M111" s="159" t="n">
        <v>0.06063353933061277</v>
      </c>
      <c r="N111" s="166"/>
      <c r="P111" s="165"/>
      <c r="Q111" t="n" s="157">
        <v>45377.0</v>
      </c>
      <c r="R111" s="157"/>
      <c r="S111" s="160" t="n">
        <v>0.871843</v>
      </c>
      <c r="T111" s="160" t="n">
        <v>2.356426</v>
      </c>
      <c r="U111" s="166"/>
    </row>
    <row r="112" spans="9:20" x14ac:dyDescent="0.2">
      <c r="H112" s="165"/>
      <c r="I112" s="161" t="n">
        <v>45378.0</v>
      </c>
      <c r="J112" s="161"/>
      <c r="K112" s="163" t="n">
        <v>0.2761299435028248</v>
      </c>
      <c r="L112" s="163" t="n">
        <v>0.15417888982227113</v>
      </c>
      <c r="M112" s="163" t="n">
        <v>0.1072270882256079</v>
      </c>
      <c r="N112" s="166"/>
      <c r="P112" s="165"/>
      <c r="Q112" t="n" s="161">
        <v>45378.0</v>
      </c>
      <c r="R112" s="161"/>
      <c r="S112" s="164" t="n">
        <v>0.895634</v>
      </c>
      <c r="T112" s="164" t="n">
        <v>2.43582</v>
      </c>
      <c r="U112" s="166"/>
    </row>
    <row r="113" spans="9:20" x14ac:dyDescent="0.2">
      <c r="H113" s="165"/>
      <c r="I113" s="157" t="n">
        <v>45379.0</v>
      </c>
      <c r="J113" s="157"/>
      <c r="K113" s="159" t="n">
        <v>0.26906779661016933</v>
      </c>
      <c r="L113" s="159" t="n">
        <v>0.15546754394838347</v>
      </c>
      <c r="M113" s="159" t="n">
        <v>0.10739795153470055</v>
      </c>
      <c r="N113" s="166"/>
      <c r="P113" s="165"/>
      <c r="Q113" t="n" s="157">
        <v>45379.0</v>
      </c>
      <c r="R113" s="157"/>
      <c r="S113" s="160" t="n">
        <v>0.890677</v>
      </c>
      <c r="T113" s="160" t="n">
        <v>2.448606</v>
      </c>
      <c r="U113" s="166"/>
    </row>
    <row r="114" spans="9:20" x14ac:dyDescent="0.2">
      <c r="H114" s="165"/>
      <c r="I114" s="161" t="n">
        <v>45383.0</v>
      </c>
      <c r="J114" s="161"/>
      <c r="K114" s="163" t="n">
        <v>0.3036723163841808</v>
      </c>
      <c r="L114" s="163" t="n">
        <v>0.153140929502263</v>
      </c>
      <c r="M114" s="163" t="n">
        <v>0.09954580019854987</v>
      </c>
      <c r="N114" s="166"/>
      <c r="P114" s="165"/>
      <c r="Q114" t="n" s="161">
        <v>45383.0</v>
      </c>
      <c r="R114" s="161"/>
      <c r="S114" s="164" t="n">
        <v>0.914964</v>
      </c>
      <c r="T114" s="164" t="n">
        <v>2.434715</v>
      </c>
      <c r="U114" s="166"/>
    </row>
    <row r="115" spans="9:20" x14ac:dyDescent="0.2">
      <c r="H115" s="165"/>
      <c r="I115" s="157" t="n">
        <v>45384.0</v>
      </c>
      <c r="J115" s="157"/>
      <c r="K115" s="159" t="n">
        <v>0.3015536723163841</v>
      </c>
      <c r="L115" s="159" t="n">
        <v>0.14479326557270356</v>
      </c>
      <c r="M115" s="159" t="n">
        <v>0.09807483886065761</v>
      </c>
      <c r="N115" s="166"/>
      <c r="P115" s="165"/>
      <c r="Q115" t="n" s="157">
        <v>45384.0</v>
      </c>
      <c r="R115" s="157"/>
      <c r="S115" s="160" t="n">
        <v>0.913477</v>
      </c>
      <c r="T115" s="160" t="n">
        <v>2.442646</v>
      </c>
      <c r="U115" s="166"/>
    </row>
    <row r="116" spans="9:20" x14ac:dyDescent="0.2">
      <c r="H116" s="165"/>
      <c r="I116" s="161" t="n">
        <v>45385.0</v>
      </c>
      <c r="J116" s="161"/>
      <c r="K116" s="163" t="n">
        <v>0.32062146892655363</v>
      </c>
      <c r="L116" s="163" t="n">
        <v>0.14604233646627285</v>
      </c>
      <c r="M116" s="163" t="n">
        <v>0.10223905887146877</v>
      </c>
      <c r="N116" s="166"/>
      <c r="P116" s="165"/>
      <c r="Q116" t="n" s="161">
        <v>45385.0</v>
      </c>
      <c r="R116" s="161"/>
      <c r="S116" s="164" t="n">
        <v>0.926859</v>
      </c>
      <c r="T116" s="164" t="n">
        <v>2.455301</v>
      </c>
      <c r="U116" s="166"/>
    </row>
    <row r="117" spans="9:20" x14ac:dyDescent="0.2">
      <c r="H117" s="165"/>
      <c r="I117" s="157" t="n">
        <v>45386.0</v>
      </c>
      <c r="J117" s="157"/>
      <c r="K117" s="159" t="n">
        <v>0.32485875706214706</v>
      </c>
      <c r="L117" s="159" t="n">
        <v>0.13190672431158168</v>
      </c>
      <c r="M117" s="159" t="n">
        <v>0.08882304766450953</v>
      </c>
      <c r="N117" s="166"/>
      <c r="P117" s="165"/>
      <c r="Q117" t="n" s="157">
        <v>45386.0</v>
      </c>
      <c r="R117" s="157"/>
      <c r="S117" s="160" t="n">
        <v>0.929833</v>
      </c>
      <c r="T117" s="160" t="n">
        <v>2.438506</v>
      </c>
      <c r="U117" s="166"/>
    </row>
    <row r="118" spans="9:20" x14ac:dyDescent="0.2">
      <c r="H118" s="165"/>
      <c r="I118" s="161" t="n">
        <v>45387.0</v>
      </c>
      <c r="J118" s="161"/>
      <c r="K118" s="163" t="n">
        <v>0.39618644067796605</v>
      </c>
      <c r="L118" s="163" t="n">
        <v>0.1444700025069381</v>
      </c>
      <c r="M118" s="163" t="n">
        <v>0.09239430334146093</v>
      </c>
      <c r="N118" s="166"/>
      <c r="P118" s="165"/>
      <c r="Q118" t="n" s="161">
        <v>45387.0</v>
      </c>
      <c r="R118" s="161"/>
      <c r="S118" s="164" t="n">
        <v>0.979894</v>
      </c>
      <c r="T118" s="164" t="n">
        <v>2.446287</v>
      </c>
      <c r="U118" s="166"/>
    </row>
    <row r="119" spans="9:20" x14ac:dyDescent="0.2">
      <c r="H119" s="165"/>
      <c r="I119" s="157" t="n">
        <v>45390.0</v>
      </c>
      <c r="J119" s="157"/>
      <c r="K119" s="159" t="n">
        <v>0.3545197740112993</v>
      </c>
      <c r="L119" s="159" t="n">
        <v>0.14404118415439227</v>
      </c>
      <c r="M119" s="159" t="n">
        <v>0.062315975058832684</v>
      </c>
      <c r="N119" s="166"/>
      <c r="P119" s="165"/>
      <c r="Q119" t="n" s="157">
        <v>45390.0</v>
      </c>
      <c r="R119" s="157"/>
      <c r="S119" s="160" t="n">
        <v>0.950651</v>
      </c>
      <c r="T119" s="160" t="n">
        <v>2.384995</v>
      </c>
      <c r="U119" s="166"/>
    </row>
    <row r="120" spans="9:20" x14ac:dyDescent="0.2">
      <c r="H120" s="165"/>
      <c r="I120" s="161" t="n">
        <v>45391.0</v>
      </c>
      <c r="J120" s="161"/>
      <c r="K120" s="163" t="n">
        <v>0.34745762711864403</v>
      </c>
      <c r="L120" s="163" t="n">
        <v>0.1456948836472869</v>
      </c>
      <c r="M120" s="163" t="n">
        <v>0.07180335478830568</v>
      </c>
      <c r="N120" s="166"/>
      <c r="P120" s="165"/>
      <c r="Q120" t="n" s="161">
        <v>45391.0</v>
      </c>
      <c r="R120" s="161"/>
      <c r="S120" s="164" t="n">
        <v>0.945694</v>
      </c>
      <c r="T120" s="164" t="n">
        <v>2.41736</v>
      </c>
      <c r="U120" s="166"/>
    </row>
    <row r="121" spans="9:20" x14ac:dyDescent="0.2">
      <c r="H121" s="165"/>
      <c r="I121" s="157" t="n">
        <v>45392.0</v>
      </c>
      <c r="J121" s="157"/>
      <c r="K121" s="159" t="n">
        <v>0.30508474576271194</v>
      </c>
      <c r="L121" s="159" t="n">
        <v>0.13486007327296168</v>
      </c>
      <c r="M121" s="159" t="n">
        <v>0.06346037722221665</v>
      </c>
      <c r="N121" s="166"/>
      <c r="P121" s="165"/>
      <c r="Q121" t="n" s="157">
        <v>45392.0</v>
      </c>
      <c r="R121" s="157"/>
      <c r="S121" s="160" t="n">
        <v>0.915955</v>
      </c>
      <c r="T121" s="160" t="n">
        <v>2.393664</v>
      </c>
      <c r="U121" s="166"/>
    </row>
    <row r="122" spans="9:20" x14ac:dyDescent="0.2">
      <c r="H122" s="165"/>
      <c r="I122" s="161" t="n">
        <v>45393.0</v>
      </c>
      <c r="J122" s="161"/>
      <c r="K122" s="163" t="n">
        <v>0.2881355932203389</v>
      </c>
      <c r="L122" s="163" t="n">
        <v>0.1433088943523524</v>
      </c>
      <c r="M122" s="163" t="n">
        <v>0.06201000615793251</v>
      </c>
      <c r="N122" s="166"/>
      <c r="P122" s="165"/>
      <c r="Q122" t="n" s="161">
        <v>45393.0</v>
      </c>
      <c r="R122" s="161"/>
      <c r="S122" s="164" t="n">
        <v>0.90406</v>
      </c>
      <c r="T122" s="164" t="n">
        <v>2.397092</v>
      </c>
      <c r="U122" s="166"/>
    </row>
    <row r="123" spans="9:20" x14ac:dyDescent="0.2">
      <c r="H123" s="165"/>
      <c r="I123" s="157" t="n">
        <v>45394.0</v>
      </c>
      <c r="J123" s="157"/>
      <c r="K123" s="159" t="n">
        <v>0.2563559322033897</v>
      </c>
      <c r="L123" s="159" t="n">
        <v>0.12667294134204754</v>
      </c>
      <c r="M123" s="159" t="n">
        <v>0.026929000689476235</v>
      </c>
      <c r="N123" s="166"/>
      <c r="P123" s="165"/>
      <c r="Q123" t="n" s="157">
        <v>45394.0</v>
      </c>
      <c r="R123" s="157"/>
      <c r="S123" s="160" t="n">
        <v>0.881756</v>
      </c>
      <c r="T123" s="160" t="n">
        <v>2.330163</v>
      </c>
      <c r="U123" s="166"/>
    </row>
    <row r="124" spans="9:20" x14ac:dyDescent="0.2">
      <c r="H124" s="165"/>
      <c r="I124" s="161" t="n">
        <v>45397.0</v>
      </c>
      <c r="J124" s="161"/>
      <c r="K124" s="163" t="n">
        <v>0.24858757062146886</v>
      </c>
      <c r="L124" s="163" t="n">
        <v>0.11312887860702192</v>
      </c>
      <c r="M124" s="163" t="n">
        <v>0.003006133059785032</v>
      </c>
      <c r="N124" s="166"/>
      <c r="P124" s="165"/>
      <c r="Q124" t="n" s="161">
        <v>45397.0</v>
      </c>
      <c r="R124" s="161"/>
      <c r="S124" s="164" t="n">
        <v>0.876304</v>
      </c>
      <c r="T124" s="164" t="n">
        <v>2.285646</v>
      </c>
      <c r="U124" s="166"/>
    </row>
    <row r="125" spans="9:20" x14ac:dyDescent="0.2">
      <c r="H125" s="165"/>
      <c r="I125" s="157" t="n">
        <v>45398.0</v>
      </c>
      <c r="J125" s="157"/>
      <c r="K125" s="159" t="n">
        <v>0.28036723163841804</v>
      </c>
      <c r="L125" s="159" t="n">
        <v>0.11083964832496938</v>
      </c>
      <c r="M125" s="159" t="n">
        <v>0.005560095609889126</v>
      </c>
      <c r="N125" s="166"/>
      <c r="P125" s="165"/>
      <c r="Q125" t="n" s="157">
        <v>45398.0</v>
      </c>
      <c r="R125" s="157"/>
      <c r="S125" s="160" t="n">
        <v>0.898608</v>
      </c>
      <c r="T125" s="160" t="n">
        <v>2.282191</v>
      </c>
      <c r="U125" s="166"/>
    </row>
    <row r="126" spans="9:20" x14ac:dyDescent="0.2">
      <c r="H126" s="165"/>
      <c r="I126" s="161" t="n">
        <v>45399.0</v>
      </c>
      <c r="J126" s="161"/>
      <c r="K126" s="163" t="n">
        <v>0.28036723163841804</v>
      </c>
      <c r="L126" s="163" t="n">
        <v>0.10441836837915464</v>
      </c>
      <c r="M126" s="163" t="n">
        <v>-0.011322671214655355</v>
      </c>
      <c r="N126" s="166"/>
      <c r="P126" s="165"/>
      <c r="Q126" t="n" s="161">
        <v>45399.0</v>
      </c>
      <c r="R126" s="161"/>
      <c r="S126" s="164" t="n">
        <v>0.898608</v>
      </c>
      <c r="T126" s="164" t="n">
        <v>2.257297</v>
      </c>
      <c r="U126" s="166"/>
    </row>
    <row r="127" spans="9:20" x14ac:dyDescent="0.2">
      <c r="H127" s="165"/>
      <c r="I127" s="157" t="n">
        <v>45400.0</v>
      </c>
      <c r="J127" s="157"/>
      <c r="K127" s="159" t="n">
        <v>0.2796610169491527</v>
      </c>
      <c r="L127" s="159" t="n">
        <v>0.10197960144082963</v>
      </c>
      <c r="M127" s="159" t="n">
        <v>-0.022409044857367943</v>
      </c>
      <c r="N127" s="166"/>
      <c r="P127" s="165"/>
      <c r="Q127" t="n" s="157">
        <v>45400.0</v>
      </c>
      <c r="R127" s="157"/>
      <c r="S127" s="160" t="n">
        <v>0.898112</v>
      </c>
      <c r="T127" s="160" t="n">
        <v>2.234891</v>
      </c>
      <c r="U127" s="166"/>
    </row>
    <row r="128" spans="9:20" x14ac:dyDescent="0.2">
      <c r="H128" s="165"/>
      <c r="I128" s="161" t="n">
        <v>45401.0</v>
      </c>
      <c r="J128" s="161"/>
      <c r="K128" s="163" t="n">
        <v>0.28672316384180774</v>
      </c>
      <c r="L128" s="163" t="n">
        <v>0.09232788990583574</v>
      </c>
      <c r="M128" s="163" t="n">
        <v>-0.011634461220124903</v>
      </c>
      <c r="N128" s="166"/>
      <c r="P128" s="165"/>
      <c r="Q128" t="n" s="161">
        <v>45401.0</v>
      </c>
      <c r="R128" s="161"/>
      <c r="S128" s="164" t="n">
        <v>0.903068</v>
      </c>
      <c r="T128" s="164" t="n">
        <v>2.252658</v>
      </c>
      <c r="U128" s="166"/>
    </row>
    <row r="129" spans="9:20" x14ac:dyDescent="0.2">
      <c r="H129" s="165"/>
      <c r="I129" s="157" t="n">
        <v>45404.0</v>
      </c>
      <c r="J129" s="157"/>
      <c r="K129" s="159" t="n">
        <v>0.2612994350282485</v>
      </c>
      <c r="L129" s="159" t="n">
        <v>0.10186524988015089</v>
      </c>
      <c r="M129" s="159" t="n">
        <v>0.01823664049657725</v>
      </c>
      <c r="N129" s="166"/>
      <c r="P129" s="165"/>
      <c r="Q129" t="n" s="157">
        <v>45404.0</v>
      </c>
      <c r="R129" s="157"/>
      <c r="S129" s="160" t="n">
        <v>0.885225</v>
      </c>
      <c r="T129" s="160" t="n">
        <v>2.297844</v>
      </c>
      <c r="U129" s="166"/>
    </row>
    <row r="130" spans="9:20" x14ac:dyDescent="0.2">
      <c r="H130" s="165"/>
      <c r="I130" s="161" t="n">
        <v>45405.0</v>
      </c>
      <c r="J130" s="161"/>
      <c r="K130" s="163" t="n">
        <v>0.25918079096045177</v>
      </c>
      <c r="L130" s="163" t="n">
        <v>0.11504866538534288</v>
      </c>
      <c r="M130" s="163" t="n">
        <v>0.034961996536381656</v>
      </c>
      <c r="N130" s="166"/>
      <c r="P130" s="165"/>
      <c r="Q130" t="n" s="161">
        <v>45405.0</v>
      </c>
      <c r="R130" s="161"/>
      <c r="S130" s="164" t="n">
        <v>0.883738</v>
      </c>
      <c r="T130" s="164" t="n">
        <v>2.335592</v>
      </c>
      <c r="U130" s="166"/>
    </row>
    <row r="131" spans="9:20" x14ac:dyDescent="0.2">
      <c r="H131" s="165"/>
      <c r="I131" s="157" t="n">
        <v>45406.0</v>
      </c>
      <c r="J131" s="157"/>
      <c r="K131" s="159" t="n">
        <v>0.25070621468926557</v>
      </c>
      <c r="L131" s="159" t="n">
        <v>0.11528616478059896</v>
      </c>
      <c r="M131" s="159" t="n">
        <v>0.021347142772458083</v>
      </c>
      <c r="N131" s="166"/>
      <c r="P131" s="165"/>
      <c r="Q131" t="n" s="157">
        <v>45406.0</v>
      </c>
      <c r="R131" s="157"/>
      <c r="S131" s="160" t="n">
        <v>0.87779</v>
      </c>
      <c r="T131" s="160" t="n">
        <v>2.312885</v>
      </c>
      <c r="U131" s="166"/>
    </row>
    <row r="132" spans="9:20" x14ac:dyDescent="0.2">
      <c r="H132" s="165"/>
      <c r="I132" s="161" t="n">
        <v>45407.0</v>
      </c>
      <c r="J132" s="161"/>
      <c r="K132" s="163" t="n">
        <v>0.2344632768361583</v>
      </c>
      <c r="L132" s="163" t="n">
        <v>0.11018212685106586</v>
      </c>
      <c r="M132" s="163" t="n">
        <v>0.019723757537221775</v>
      </c>
      <c r="N132" s="166"/>
      <c r="P132" s="165"/>
      <c r="Q132" t="n" s="161">
        <v>45407.0</v>
      </c>
      <c r="R132" s="161"/>
      <c r="S132" s="164" t="n">
        <v>0.866391</v>
      </c>
      <c r="T132" s="164" t="n">
        <v>2.316729</v>
      </c>
      <c r="U132" s="166"/>
    </row>
    <row r="133" spans="9:20" x14ac:dyDescent="0.2">
      <c r="H133" s="165"/>
      <c r="I133" s="157" t="n">
        <v>45408.0</v>
      </c>
      <c r="J133" s="157"/>
      <c r="K133" s="159" t="n">
        <v>0.24646892655367214</v>
      </c>
      <c r="L133" s="159" t="n">
        <v>0.12151612576912418</v>
      </c>
      <c r="M133" s="159" t="n">
        <v>0.013810854922469806</v>
      </c>
      <c r="N133" s="166"/>
      <c r="P133" s="165"/>
      <c r="Q133" t="n" s="157">
        <v>45408.0</v>
      </c>
      <c r="R133" s="157"/>
      <c r="S133" s="160" t="n">
        <v>0.874817</v>
      </c>
      <c r="T133" s="160" t="n">
        <v>2.306513</v>
      </c>
      <c r="U133" s="166"/>
    </row>
    <row r="134" spans="9:20" x14ac:dyDescent="0.2">
      <c r="H134" s="165"/>
      <c r="I134" s="161" t="n">
        <v>45411.0</v>
      </c>
      <c r="J134" s="161"/>
      <c r="K134" s="163" t="n">
        <v>0.23870056497175127</v>
      </c>
      <c r="L134" s="163" t="n">
        <v>0.12508081576644137</v>
      </c>
      <c r="M134" s="163" t="n">
        <v>0.012107766229304762</v>
      </c>
      <c r="N134" s="166"/>
      <c r="P134" s="165"/>
      <c r="Q134" t="n" s="161">
        <v>45411.0</v>
      </c>
      <c r="R134" s="161"/>
      <c r="S134" s="164" t="n">
        <v>0.869364</v>
      </c>
      <c r="T134" s="164" t="n">
        <v>2.304137</v>
      </c>
      <c r="U134" s="166"/>
    </row>
    <row r="135" spans="9:20" x14ac:dyDescent="0.2">
      <c r="H135" s="165"/>
      <c r="I135" s="157" t="n">
        <v>45412.0</v>
      </c>
      <c r="J135" s="157"/>
      <c r="K135" s="159" t="n">
        <v>0.21045197740112997</v>
      </c>
      <c r="L135" s="159" t="n">
        <v>0.10738271268290746</v>
      </c>
      <c r="M135" s="159" t="n">
        <v>-0.01139258968570478</v>
      </c>
      <c r="N135" s="166"/>
      <c r="P135" s="165"/>
      <c r="Q135" t="n" s="157">
        <v>45412.0</v>
      </c>
      <c r="R135" s="157"/>
      <c r="S135" s="160" t="n">
        <v>0.849539</v>
      </c>
      <c r="T135" s="160" t="n">
        <v>2.254504</v>
      </c>
      <c r="U135" s="166"/>
    </row>
    <row r="136" spans="9:20" x14ac:dyDescent="0.2">
      <c r="H136" s="165"/>
      <c r="I136" s="161" t="n">
        <v>45413.0</v>
      </c>
      <c r="J136" s="161"/>
      <c r="K136" s="163" t="n">
        <v>0.23093220338983045</v>
      </c>
      <c r="L136" s="163" t="n">
        <v>0.10357832422185975</v>
      </c>
      <c r="M136" s="163" t="n">
        <v>0.0029947781617529756</v>
      </c>
      <c r="N136" s="166"/>
      <c r="P136" s="165"/>
      <c r="Q136" t="n" s="161">
        <v>45413.0</v>
      </c>
      <c r="R136" s="161"/>
      <c r="S136" s="164" t="n">
        <v>0.863912</v>
      </c>
      <c r="T136" s="164" t="n">
        <v>2.286923</v>
      </c>
      <c r="U136" s="166"/>
    </row>
    <row r="137" spans="9:20" x14ac:dyDescent="0.2">
      <c r="H137" s="165"/>
      <c r="I137" s="157" t="n">
        <v>45414.0</v>
      </c>
      <c r="J137" s="157"/>
      <c r="K137" s="159" t="n">
        <v>0.24223163841807918</v>
      </c>
      <c r="L137" s="159" t="n">
        <v>0.11365225690397551</v>
      </c>
      <c r="M137" s="159" t="n">
        <v>0.019162128088758834</v>
      </c>
      <c r="N137" s="166"/>
      <c r="P137" s="165"/>
      <c r="Q137" t="n" s="157">
        <v>45414.0</v>
      </c>
      <c r="R137" s="157"/>
      <c r="S137" s="160" t="n">
        <v>0.929572</v>
      </c>
      <c r="T137" s="160" t="n">
        <v>2.318297</v>
      </c>
      <c r="U137" s="166"/>
    </row>
    <row r="138" spans="9:20" x14ac:dyDescent="0.2">
      <c r="H138" s="165"/>
      <c r="I138" s="161" t="n">
        <v>45415.0</v>
      </c>
      <c r="J138" s="161"/>
      <c r="K138" s="163" t="n">
        <v>0.2514124293785309</v>
      </c>
      <c r="L138" s="163" t="n">
        <v>0.12763613333391977</v>
      </c>
      <c r="M138" s="163" t="n">
        <v>0.0285526324155565</v>
      </c>
      <c r="N138" s="166"/>
      <c r="P138" s="165"/>
      <c r="Q138" t="n" s="161">
        <v>45415.0</v>
      </c>
      <c r="R138" s="161"/>
      <c r="S138" s="164" t="n">
        <v>0.936442</v>
      </c>
      <c r="T138" s="164" t="n">
        <v>2.340571</v>
      </c>
      <c r="U138" s="166"/>
    </row>
    <row r="139" spans="9:20" x14ac:dyDescent="0.2">
      <c r="H139" s="165"/>
      <c r="I139" s="157" t="n">
        <v>45418.0</v>
      </c>
      <c r="J139" s="157"/>
      <c r="K139" s="159" t="n">
        <v>0.20127118644067798</v>
      </c>
      <c r="L139" s="159" t="n">
        <v>0.13928020090689586</v>
      </c>
      <c r="M139" s="159" t="n">
        <v>0.025563426187353633</v>
      </c>
      <c r="N139" s="166"/>
      <c r="P139" s="165"/>
      <c r="Q139" t="n" s="157">
        <v>45418.0</v>
      </c>
      <c r="R139" s="157"/>
      <c r="S139" s="160" t="n">
        <v>0.898921</v>
      </c>
      <c r="T139" s="160" t="n">
        <v>2.329403</v>
      </c>
      <c r="U139" s="166"/>
    </row>
    <row r="140" spans="9:20" x14ac:dyDescent="0.2">
      <c r="H140" s="165"/>
      <c r="I140" s="161" t="n">
        <v>45419.0</v>
      </c>
      <c r="J140" s="161"/>
      <c r="K140" s="163" t="n">
        <v>0.2274011299435028</v>
      </c>
      <c r="L140" s="163" t="n">
        <v>0.14081075256521336</v>
      </c>
      <c r="M140" s="163" t="n">
        <v>0.02861310847529963</v>
      </c>
      <c r="N140" s="166"/>
      <c r="P140" s="165"/>
      <c r="Q140" t="n" s="161">
        <v>45419.0</v>
      </c>
      <c r="R140" s="161"/>
      <c r="S140" s="164" t="n">
        <v>0.918474</v>
      </c>
      <c r="T140" s="164" t="n">
        <v>2.340363</v>
      </c>
      <c r="U140" s="166"/>
    </row>
    <row r="141" spans="9:20" x14ac:dyDescent="0.2">
      <c r="H141" s="165"/>
      <c r="I141" s="157" t="n">
        <v>45420.0</v>
      </c>
      <c r="J141" s="157"/>
      <c r="K141" s="159" t="n">
        <v>0.22669491525423724</v>
      </c>
      <c r="L141" s="159" t="n">
        <v>0.14080415535978963</v>
      </c>
      <c r="M141" s="159" t="n">
        <v>0.029752382124662136</v>
      </c>
      <c r="N141" s="166"/>
      <c r="P141" s="165"/>
      <c r="Q141" t="n" s="157">
        <v>45420.0</v>
      </c>
      <c r="R141" s="157"/>
      <c r="S141" s="160" t="n">
        <v>0.917945</v>
      </c>
      <c r="T141" s="160" t="n">
        <v>2.350464</v>
      </c>
      <c r="U141" s="166"/>
    </row>
    <row r="142" spans="9:20" x14ac:dyDescent="0.2">
      <c r="H142" s="165"/>
      <c r="I142" s="161" t="n">
        <v>45421.0</v>
      </c>
      <c r="J142" s="161"/>
      <c r="K142" s="163" t="n">
        <v>0.2161016949152541</v>
      </c>
      <c r="L142" s="163" t="n">
        <v>0.14661189520119278</v>
      </c>
      <c r="M142" s="163" t="n">
        <v>0.0432678323149982</v>
      </c>
      <c r="N142" s="166"/>
      <c r="P142" s="165"/>
      <c r="Q142" t="n" s="161">
        <v>45421.0</v>
      </c>
      <c r="R142" s="161"/>
      <c r="S142" s="164" t="n">
        <v>0.910018</v>
      </c>
      <c r="T142" s="164" t="n">
        <v>2.37243</v>
      </c>
      <c r="U142" s="166"/>
    </row>
    <row r="143" spans="9:20" x14ac:dyDescent="0.2">
      <c r="H143" s="165"/>
      <c r="I143" s="157" t="n">
        <v>45422.0</v>
      </c>
      <c r="J143" s="157"/>
      <c r="K143" s="159" t="n">
        <v>0.21327683615819204</v>
      </c>
      <c r="L143" s="159" t="n">
        <v>0.1485030940893437</v>
      </c>
      <c r="M143" s="159" t="n">
        <v>0.011807988302626082</v>
      </c>
      <c r="N143" s="166"/>
      <c r="P143" s="165"/>
      <c r="Q143" t="n" s="157">
        <v>45422.0</v>
      </c>
      <c r="R143" s="157"/>
      <c r="S143" s="160" t="n">
        <v>0.907905</v>
      </c>
      <c r="T143" s="160" t="n">
        <v>2.338594</v>
      </c>
      <c r="U143" s="166"/>
    </row>
    <row r="144" spans="9:20" x14ac:dyDescent="0.2">
      <c r="H144" s="165"/>
      <c r="I144" s="161" t="n">
        <v>45425.0</v>
      </c>
      <c r="J144" s="161"/>
      <c r="K144" s="163" t="n">
        <v>0.27330508474576276</v>
      </c>
      <c r="L144" s="163" t="n">
        <v>0.1482260114615448</v>
      </c>
      <c r="M144" s="163" t="n">
        <v>0.015539665095970934</v>
      </c>
      <c r="N144" s="166"/>
      <c r="P144" s="165"/>
      <c r="Q144" t="n" s="161">
        <v>45425.0</v>
      </c>
      <c r="R144" s="161"/>
      <c r="S144" s="164" t="n">
        <v>0.952824</v>
      </c>
      <c r="T144" s="164" t="n">
        <v>2.325524</v>
      </c>
      <c r="U144" s="166"/>
    </row>
    <row r="145" spans="9:20" x14ac:dyDescent="0.2">
      <c r="H145" s="165"/>
      <c r="I145" s="157" t="n">
        <v>45426.0</v>
      </c>
      <c r="J145" s="157"/>
      <c r="K145" s="159" t="n">
        <v>0.326271186440678</v>
      </c>
      <c r="L145" s="159" t="n">
        <v>0.15378085842836975</v>
      </c>
      <c r="M145" s="159" t="n">
        <v>0.02482768467288854</v>
      </c>
      <c r="N145" s="166"/>
      <c r="P145" s="165"/>
      <c r="Q145" t="n" s="157">
        <v>45426.0</v>
      </c>
      <c r="R145" s="157"/>
      <c r="S145" s="160" t="n">
        <v>0.992459</v>
      </c>
      <c r="T145" s="160" t="n">
        <v>2.334928</v>
      </c>
      <c r="U145" s="166"/>
    </row>
    <row r="146" spans="9:20" x14ac:dyDescent="0.2">
      <c r="H146" s="165"/>
      <c r="I146" s="161" t="n">
        <v>45427.0</v>
      </c>
      <c r="J146" s="161"/>
      <c r="K146" s="163" t="n">
        <v>0.3227401129943503</v>
      </c>
      <c r="L146" s="163" t="n">
        <v>0.1672985323417</v>
      </c>
      <c r="M146" s="163" t="n">
        <v>0.02237908032438729</v>
      </c>
      <c r="N146" s="166"/>
      <c r="P146" s="165"/>
      <c r="Q146" t="n" s="161">
        <v>45427.0</v>
      </c>
      <c r="R146" s="161"/>
      <c r="S146" s="164" t="n">
        <v>0.989817</v>
      </c>
      <c r="T146" s="164" t="n">
        <v>2.349606</v>
      </c>
      <c r="U146" s="166"/>
    </row>
    <row r="147" spans="9:20" x14ac:dyDescent="0.2">
      <c r="H147" s="165"/>
      <c r="I147" s="157" t="n">
        <v>45428.0</v>
      </c>
      <c r="J147" s="157"/>
      <c r="K147" s="159" t="n">
        <v>0.25776836158192085</v>
      </c>
      <c r="L147" s="159" t="n">
        <v>0.1648685616772736</v>
      </c>
      <c r="M147" s="159" t="n">
        <v>0.0147219759072863</v>
      </c>
      <c r="N147" s="166"/>
      <c r="P147" s="165"/>
      <c r="Q147" t="n" s="157">
        <v>45428.0</v>
      </c>
      <c r="R147" s="157"/>
      <c r="S147" s="160" t="n">
        <v>0.941198</v>
      </c>
      <c r="T147" s="160" t="n">
        <v>2.344512</v>
      </c>
      <c r="U147" s="166"/>
    </row>
    <row r="148" spans="9:20" x14ac:dyDescent="0.2">
      <c r="H148" s="165"/>
      <c r="I148" s="161" t="n">
        <v>45429.0</v>
      </c>
      <c r="J148" s="161"/>
      <c r="K148" s="163" t="n">
        <v>0.24858757062146886</v>
      </c>
      <c r="L148" s="163" t="n">
        <v>0.16622538692609812</v>
      </c>
      <c r="M148" s="163" t="n">
        <v>0.005221437051350364</v>
      </c>
      <c r="N148" s="166"/>
      <c r="P148" s="165"/>
      <c r="Q148" t="n" s="161">
        <v>45429.0</v>
      </c>
      <c r="R148" s="161"/>
      <c r="S148" s="164" t="n">
        <v>0.934328</v>
      </c>
      <c r="T148" s="164" t="n">
        <v>2.337156</v>
      </c>
      <c r="U148" s="166"/>
    </row>
    <row r="149" spans="9:20" x14ac:dyDescent="0.2">
      <c r="H149" s="165"/>
      <c r="I149" s="157" t="n">
        <v>45432.0</v>
      </c>
      <c r="J149" s="157"/>
      <c r="K149" s="159" t="n">
        <v>0.24858757062146886</v>
      </c>
      <c r="L149" s="159" t="n">
        <v>0.1672941342047509</v>
      </c>
      <c r="M149" s="159" t="n">
        <v>0.007856979460010738</v>
      </c>
      <c r="N149" s="166"/>
      <c r="P149" s="165"/>
      <c r="Q149" t="n" s="157">
        <v>45432.0</v>
      </c>
      <c r="R149" s="157"/>
      <c r="S149" s="160" t="n">
        <v>0.934328</v>
      </c>
      <c r="T149" s="160" t="n">
        <v>2.33011</v>
      </c>
      <c r="U149" s="166"/>
    </row>
    <row r="150" spans="9:20" x14ac:dyDescent="0.2">
      <c r="H150" s="165"/>
      <c r="I150" s="161" t="n">
        <v>45433.0</v>
      </c>
      <c r="J150" s="161"/>
      <c r="K150" s="163" t="n">
        <v>0.2344632768361583</v>
      </c>
      <c r="L150" s="163" t="n">
        <v>0.17021449713901185</v>
      </c>
      <c r="M150" s="163" t="n">
        <v>0.024045126696354835</v>
      </c>
      <c r="N150" s="166"/>
      <c r="P150" s="165"/>
      <c r="Q150" t="n" s="161">
        <v>45433.0</v>
      </c>
      <c r="R150" s="161"/>
      <c r="S150" s="164" t="n">
        <v>0.923759</v>
      </c>
      <c r="T150" s="164" t="n">
        <v>2.363615</v>
      </c>
      <c r="U150" s="166"/>
    </row>
    <row r="151" spans="9:20" x14ac:dyDescent="0.2">
      <c r="H151" s="165"/>
      <c r="I151" s="157" t="n">
        <v>45434.0</v>
      </c>
      <c r="J151" s="157"/>
      <c r="K151" s="159" t="n">
        <v>0.2542372881355932</v>
      </c>
      <c r="L151" s="159" t="n">
        <v>0.16704783853559627</v>
      </c>
      <c r="M151" s="159" t="n">
        <v>0.012359562335771956</v>
      </c>
      <c r="N151" s="166"/>
      <c r="P151" s="165"/>
      <c r="Q151" t="n" s="157">
        <v>45434.0</v>
      </c>
      <c r="R151" s="157"/>
      <c r="S151" s="160" t="n">
        <v>0.938556</v>
      </c>
      <c r="T151" s="160" t="n">
        <v>2.332734</v>
      </c>
      <c r="U151" s="166"/>
    </row>
    <row r="152" spans="9:20" x14ac:dyDescent="0.2">
      <c r="H152" s="165"/>
      <c r="I152" s="161" t="n">
        <v>45435.0</v>
      </c>
      <c r="J152" s="161"/>
      <c r="K152" s="163" t="n">
        <v>0.25353107344632764</v>
      </c>
      <c r="L152" s="163" t="n">
        <v>0.15843408732061093</v>
      </c>
      <c r="M152" s="163" t="n">
        <v>-0.029096848788780605</v>
      </c>
      <c r="N152" s="166"/>
      <c r="P152" s="165"/>
      <c r="Q152" t="n" s="161">
        <v>45435.0</v>
      </c>
      <c r="R152" s="161"/>
      <c r="S152" s="164" t="n">
        <v>0.938027</v>
      </c>
      <c r="T152" s="164" t="n">
        <v>2.249539</v>
      </c>
      <c r="U152" s="166"/>
    </row>
    <row r="153" spans="9:20" x14ac:dyDescent="0.2">
      <c r="H153" s="165"/>
      <c r="I153" s="157" t="n">
        <v>45436.0</v>
      </c>
      <c r="J153" s="157"/>
      <c r="K153" s="159" t="n">
        <v>0.2627118644067796</v>
      </c>
      <c r="L153" s="159" t="n">
        <v>0.16654425185491425</v>
      </c>
      <c r="M153" s="159" t="n">
        <v>-0.008149771625347024</v>
      </c>
      <c r="N153" s="166"/>
      <c r="P153" s="165"/>
      <c r="Q153" t="n" s="157">
        <v>45436.0</v>
      </c>
      <c r="R153" s="157"/>
      <c r="S153" s="160" t="n">
        <v>0.944897</v>
      </c>
      <c r="T153" s="160" t="n">
        <v>2.300187</v>
      </c>
      <c r="U153" s="166"/>
    </row>
    <row r="154" spans="9:20" x14ac:dyDescent="0.2">
      <c r="H154" s="165"/>
      <c r="I154" s="161" t="n">
        <v>45440.0</v>
      </c>
      <c r="J154" s="161"/>
      <c r="K154" s="163" t="n">
        <v>0.20692090395480237</v>
      </c>
      <c r="L154" s="163" t="n">
        <v>0.16683452889356065</v>
      </c>
      <c r="M154" s="163" t="n">
        <v>-0.005466881607781526</v>
      </c>
      <c r="N154" s="166"/>
      <c r="P154" s="165"/>
      <c r="Q154" t="n" s="161">
        <v>45440.0</v>
      </c>
      <c r="R154" s="161"/>
      <c r="S154" s="164" t="n">
        <v>0.903148</v>
      </c>
      <c r="T154" s="164" t="n">
        <v>2.309391</v>
      </c>
      <c r="U154" s="166"/>
    </row>
    <row r="155" spans="9:20" x14ac:dyDescent="0.2">
      <c r="H155" s="165"/>
      <c r="I155" s="157" t="n">
        <v>45441.0</v>
      </c>
      <c r="J155" s="157"/>
      <c r="K155" s="159" t="n">
        <v>0.19703389830508478</v>
      </c>
      <c r="L155" s="159" t="n">
        <v>0.1582383702263721</v>
      </c>
      <c r="M155" s="159" t="n">
        <v>-0.017474702054004698</v>
      </c>
      <c r="N155" s="166"/>
      <c r="P155" s="165"/>
      <c r="Q155" t="n" s="157">
        <v>45441.0</v>
      </c>
      <c r="R155" s="157"/>
      <c r="S155" s="160" t="n">
        <v>0.89575</v>
      </c>
      <c r="T155" s="160" t="n">
        <v>2.280158</v>
      </c>
      <c r="U155" s="166"/>
    </row>
    <row r="156" spans="9:20" x14ac:dyDescent="0.2">
      <c r="H156" s="165"/>
      <c r="I156" s="161" t="n">
        <v>45442.0</v>
      </c>
      <c r="J156" s="161"/>
      <c r="K156" s="163" t="n">
        <v>0.19985875706214684</v>
      </c>
      <c r="L156" s="163" t="n">
        <v>0.15131790173682425</v>
      </c>
      <c r="M156" s="163" t="n">
        <v>-0.00881077194284563</v>
      </c>
      <c r="N156" s="166"/>
      <c r="P156" s="165"/>
      <c r="Q156" t="n" s="161">
        <v>45442.0</v>
      </c>
      <c r="R156" s="161"/>
      <c r="S156" s="164" t="n">
        <v>0.897864</v>
      </c>
      <c r="T156" s="164" t="n">
        <v>2.298023</v>
      </c>
      <c r="U156" s="166"/>
    </row>
    <row r="157" spans="9:20" x14ac:dyDescent="0.2">
      <c r="H157" s="165"/>
      <c r="I157" s="157" t="n">
        <v>45443.0</v>
      </c>
      <c r="J157" s="157"/>
      <c r="K157" s="159" t="n">
        <v>0.21963276836158196</v>
      </c>
      <c r="L157" s="159" t="n">
        <v>0.16056058653554353</v>
      </c>
      <c r="M157" s="159" t="n">
        <v>0.008600761030185033</v>
      </c>
      <c r="N157" s="166"/>
      <c r="P157" s="165"/>
      <c r="Q157" t="n" s="157">
        <v>45443.0</v>
      </c>
      <c r="R157" s="157"/>
      <c r="S157" s="160" t="n">
        <v>0.912661</v>
      </c>
      <c r="T157" s="160" t="n">
        <v>2.342216</v>
      </c>
      <c r="U157" s="166"/>
    </row>
    <row r="158" spans="9:20" x14ac:dyDescent="0.2">
      <c r="H158" s="165"/>
      <c r="I158" s="161" t="n">
        <v>45446.0</v>
      </c>
      <c r="J158" s="161"/>
      <c r="K158" s="163" t="n">
        <v>0.20762711864406788</v>
      </c>
      <c r="L158" s="163" t="n">
        <v>0.16185583786707938</v>
      </c>
      <c r="M158" s="163" t="n">
        <v>0.027626919273055384</v>
      </c>
      <c r="N158" s="166"/>
      <c r="P158" s="165"/>
      <c r="Q158" t="n" s="161">
        <v>45446.0</v>
      </c>
      <c r="R158" s="161"/>
      <c r="S158" s="164" t="n">
        <v>0.903677</v>
      </c>
      <c r="T158" s="164" t="n">
        <v>2.374258</v>
      </c>
      <c r="U158" s="166"/>
    </row>
    <row r="159" spans="9:20" x14ac:dyDescent="0.2">
      <c r="H159" s="165"/>
      <c r="I159" s="157" t="n">
        <v>45447.0</v>
      </c>
      <c r="J159" s="157"/>
      <c r="K159" s="159" t="n">
        <v>0.1758474576271185</v>
      </c>
      <c r="L159" s="159" t="n">
        <v>0.1636018982359073</v>
      </c>
      <c r="M159" s="159" t="n">
        <v>0.030532010032388257</v>
      </c>
      <c r="N159" s="166"/>
      <c r="P159" s="165"/>
      <c r="Q159" t="n" s="157">
        <v>45447.0</v>
      </c>
      <c r="R159" s="157"/>
      <c r="S159" s="160" t="n">
        <v>0.879896</v>
      </c>
      <c r="T159" s="160" t="n">
        <v>2.379051</v>
      </c>
      <c r="U159" s="166"/>
    </row>
    <row r="160" spans="9:20" x14ac:dyDescent="0.2">
      <c r="H160" s="165"/>
      <c r="I160" s="161" t="n">
        <v>45448.0</v>
      </c>
      <c r="J160" s="161"/>
      <c r="K160" s="163" t="n">
        <v>0.16313559322033888</v>
      </c>
      <c r="L160" s="163" t="n">
        <v>0.1773878585031381</v>
      </c>
      <c r="M160" s="163" t="n">
        <v>0.034924555673774504</v>
      </c>
      <c r="N160" s="166"/>
      <c r="P160" s="165"/>
      <c r="Q160" t="n" s="161">
        <v>45448.0</v>
      </c>
      <c r="R160" s="161"/>
      <c r="S160" s="164" t="n">
        <v>0.870384</v>
      </c>
      <c r="T160" s="164" t="n">
        <v>2.389888</v>
      </c>
      <c r="U160" s="166"/>
    </row>
    <row r="161" spans="9:20" x14ac:dyDescent="0.2">
      <c r="H161" s="165"/>
      <c r="I161" s="157" t="n">
        <v>45449.0</v>
      </c>
      <c r="J161" s="157"/>
      <c r="K161" s="159" t="n">
        <v>0.192090395480226</v>
      </c>
      <c r="L161" s="159" t="n">
        <v>0.17715255817635644</v>
      </c>
      <c r="M161" s="159" t="n">
        <v>0.03341367111103066</v>
      </c>
      <c r="N161" s="166"/>
      <c r="P161" s="165"/>
      <c r="Q161" t="n" s="157">
        <v>45449.0</v>
      </c>
      <c r="R161" s="157"/>
      <c r="S161" s="160" t="n">
        <v>0.892051</v>
      </c>
      <c r="T161" s="160" t="n">
        <v>2.383541</v>
      </c>
      <c r="U161" s="166"/>
    </row>
    <row r="162" spans="9:20" x14ac:dyDescent="0.2">
      <c r="H162" s="165"/>
      <c r="I162" s="161" t="n">
        <v>45450.0</v>
      </c>
      <c r="J162" s="161"/>
      <c r="K162" s="163" t="n">
        <v>0.18644067796610167</v>
      </c>
      <c r="L162" s="163" t="n">
        <v>0.17583971429702358</v>
      </c>
      <c r="M162" s="163" t="n">
        <v>0.01282685604972933</v>
      </c>
      <c r="N162" s="166"/>
      <c r="P162" s="165"/>
      <c r="Q162" t="n" s="161">
        <v>45450.0</v>
      </c>
      <c r="R162" s="161"/>
      <c r="S162" s="164" t="n">
        <v>0.887823</v>
      </c>
      <c r="T162" s="164" t="n">
        <v>2.343415</v>
      </c>
      <c r="U162" s="166"/>
    </row>
    <row r="163" spans="9:20" x14ac:dyDescent="0.2">
      <c r="H163" s="165"/>
      <c r="I163" s="157" t="n">
        <v>45453.0</v>
      </c>
      <c r="J163" s="157"/>
      <c r="K163" s="159" t="n">
        <v>0.1871468926553672</v>
      </c>
      <c r="L163" s="159" t="n">
        <v>0.17887442879196372</v>
      </c>
      <c r="M163" s="159" t="n">
        <v>0.01563141807140722</v>
      </c>
      <c r="N163" s="166"/>
      <c r="P163" s="165"/>
      <c r="Q163" t="n" s="157">
        <v>45453.0</v>
      </c>
      <c r="R163" s="157"/>
      <c r="S163" s="160" t="n">
        <v>0.888351</v>
      </c>
      <c r="T163" s="160" t="n">
        <v>2.355718</v>
      </c>
      <c r="U163" s="166"/>
    </row>
    <row r="164" spans="9:20" x14ac:dyDescent="0.2">
      <c r="H164" s="165"/>
      <c r="I164" s="161" t="n">
        <v>45454.0</v>
      </c>
      <c r="J164" s="161"/>
      <c r="K164" s="163" t="n">
        <v>0.21115819209039532</v>
      </c>
      <c r="L164" s="163" t="n">
        <v>0.18206967528554885</v>
      </c>
      <c r="M164" s="163" t="n">
        <v>0.022378709102117034</v>
      </c>
      <c r="N164" s="166"/>
      <c r="P164" s="165"/>
      <c r="Q164" t="n" s="161">
        <v>45454.0</v>
      </c>
      <c r="R164" s="161"/>
      <c r="S164" s="164" t="n">
        <v>0.906319</v>
      </c>
      <c r="T164" s="164" t="n">
        <v>2.362268</v>
      </c>
      <c r="U164" s="166"/>
    </row>
    <row r="165" spans="9:20" x14ac:dyDescent="0.2">
      <c r="H165" s="165"/>
      <c r="I165" s="157" t="n">
        <v>45455.0</v>
      </c>
      <c r="J165" s="157"/>
      <c r="K165" s="159" t="n">
        <v>0.2620056497175143</v>
      </c>
      <c r="L165" s="159" t="n">
        <v>0.19212161728291874</v>
      </c>
      <c r="M165" s="159" t="n">
        <v>0.019229250665694586</v>
      </c>
      <c r="N165" s="166"/>
      <c r="P165" s="165"/>
      <c r="Q165" t="n" s="157">
        <v>45455.0</v>
      </c>
      <c r="R165" s="157"/>
      <c r="S165" s="160" t="n">
        <v>0.944369</v>
      </c>
      <c r="T165" s="160" t="n">
        <v>2.360095</v>
      </c>
      <c r="U165" s="166"/>
    </row>
    <row r="166" spans="9:20" x14ac:dyDescent="0.2">
      <c r="H166" s="165"/>
      <c r="I166" s="161" t="n">
        <v>45456.0</v>
      </c>
      <c r="J166" s="161"/>
      <c r="K166" s="163" t="n">
        <v>0.25918079096045177</v>
      </c>
      <c r="L166" s="163" t="n">
        <v>0.19491663331412812</v>
      </c>
      <c r="M166" s="163" t="n">
        <v>-0.0012182062577638098</v>
      </c>
      <c r="N166" s="166"/>
      <c r="P166" s="165"/>
      <c r="Q166" t="n" s="161">
        <v>45456.0</v>
      </c>
      <c r="R166" s="161"/>
      <c r="S166" s="164" t="n">
        <v>0.942255</v>
      </c>
      <c r="T166" s="164" t="n">
        <v>2.321556</v>
      </c>
      <c r="U166" s="166"/>
    </row>
    <row r="167" spans="9:20" x14ac:dyDescent="0.2">
      <c r="H167" s="165"/>
      <c r="I167" s="157" t="n">
        <v>45457.0</v>
      </c>
      <c r="J167" s="157"/>
      <c r="K167" s="159" t="n">
        <v>0.2944915254237286</v>
      </c>
      <c r="L167" s="159" t="n">
        <v>0.19444603266056504</v>
      </c>
      <c r="M167" s="159" t="n">
        <v>-0.010927783347458253</v>
      </c>
      <c r="N167" s="166"/>
      <c r="P167" s="165"/>
      <c r="Q167" t="n" s="157">
        <v>45457.0</v>
      </c>
      <c r="R167" s="157"/>
      <c r="S167" s="160" t="n">
        <v>0.968678</v>
      </c>
      <c r="T167" s="160" t="n">
        <v>2.302863</v>
      </c>
      <c r="U167" s="166"/>
    </row>
    <row r="168" spans="9:20" x14ac:dyDescent="0.2">
      <c r="H168" s="165"/>
      <c r="I168" s="161" t="n">
        <v>45460.0</v>
      </c>
      <c r="J168" s="161"/>
      <c r="K168" s="163" t="n">
        <v>0.3531073446327684</v>
      </c>
      <c r="L168" s="163" t="n">
        <v>0.20360075472030026</v>
      </c>
      <c r="M168" s="163" t="n">
        <v>-0.016605350682821762</v>
      </c>
      <c r="N168" s="166"/>
      <c r="P168" s="165"/>
      <c r="Q168" t="n" s="161">
        <v>45460.0</v>
      </c>
      <c r="R168" s="161"/>
      <c r="S168" s="164" t="n">
        <v>1.012541</v>
      </c>
      <c r="T168" s="164" t="n">
        <v>2.287262</v>
      </c>
      <c r="U168" s="166"/>
    </row>
    <row r="169" spans="9:20" x14ac:dyDescent="0.2">
      <c r="H169" s="165"/>
      <c r="I169" s="157" t="n">
        <v>45461.0</v>
      </c>
      <c r="J169" s="157"/>
      <c r="K169" s="159" t="n">
        <v>0.3947740112994352</v>
      </c>
      <c r="L169" s="159" t="n">
        <v>0.20663546921524034</v>
      </c>
      <c r="M169" s="159" t="n">
        <v>-0.026108051221564454</v>
      </c>
      <c r="N169" s="166"/>
      <c r="P169" s="165"/>
      <c r="Q169" t="n" s="157">
        <v>45461.0</v>
      </c>
      <c r="R169" s="157"/>
      <c r="S169" s="160" t="n">
        <v>1.04372</v>
      </c>
      <c r="T169" s="160" t="n">
        <v>2.26359</v>
      </c>
      <c r="U169" s="166"/>
    </row>
    <row r="170" spans="9:20" x14ac:dyDescent="0.2">
      <c r="H170" s="165"/>
      <c r="I170" s="161" t="n">
        <v>45463.0</v>
      </c>
      <c r="J170" s="161"/>
      <c r="K170" s="163" t="n">
        <v>0.36935028248587565</v>
      </c>
      <c r="L170" s="163" t="n">
        <v>0.2035875603094528</v>
      </c>
      <c r="M170" s="163" t="n">
        <v>-0.03529205292491777</v>
      </c>
      <c r="N170" s="166"/>
      <c r="P170" s="165"/>
      <c r="Q170" t="n" s="161">
        <v>45463.0</v>
      </c>
      <c r="R170" s="161"/>
      <c r="S170" s="164" t="n">
        <v>1.024696</v>
      </c>
      <c r="T170" s="164" t="n">
        <v>2.241677</v>
      </c>
      <c r="U170" s="166"/>
    </row>
    <row r="171" spans="9:20" x14ac:dyDescent="0.2">
      <c r="H171" s="165"/>
      <c r="I171" s="157" t="n">
        <v>45464.0</v>
      </c>
      <c r="J171" s="157"/>
      <c r="K171" s="159" t="n">
        <v>0.3757062146892656</v>
      </c>
      <c r="L171" s="159" t="n">
        <v>0.20170735676367493</v>
      </c>
      <c r="M171" s="159" t="n">
        <v>-0.04549334166833541</v>
      </c>
      <c r="N171" s="166"/>
      <c r="P171" s="165"/>
      <c r="Q171" t="n" s="157">
        <v>45464.0</v>
      </c>
      <c r="R171" s="157"/>
      <c r="S171" s="160" t="n">
        <v>1.029452</v>
      </c>
      <c r="T171" s="160" t="n">
        <v>2.225119</v>
      </c>
      <c r="U171" s="166"/>
    </row>
    <row r="172" spans="9:20" x14ac:dyDescent="0.2">
      <c r="H172" s="165"/>
      <c r="I172" s="161" t="n">
        <v>45467.0</v>
      </c>
      <c r="J172" s="161"/>
      <c r="K172" s="163" t="n">
        <v>0.4653954802259888</v>
      </c>
      <c r="L172" s="163" t="n">
        <v>0.19802391706872968</v>
      </c>
      <c r="M172" s="163" t="n">
        <v>-0.05512828043394591</v>
      </c>
      <c r="N172" s="166"/>
      <c r="P172" s="165"/>
      <c r="Q172" t="n" s="161">
        <v>45467.0</v>
      </c>
      <c r="R172" s="161"/>
      <c r="S172" s="164" t="n">
        <v>1.096567</v>
      </c>
      <c r="T172" s="164" t="n">
        <v>2.207071</v>
      </c>
      <c r="U172" s="166"/>
    </row>
    <row r="173" spans="9:20" x14ac:dyDescent="0.2">
      <c r="H173" s="165"/>
      <c r="I173" s="157" t="n">
        <v>45468.0</v>
      </c>
      <c r="J173" s="157"/>
      <c r="K173" s="159" t="n">
        <v>0.5127118644067798</v>
      </c>
      <c r="L173" s="159" t="n">
        <v>0.20273652080978485</v>
      </c>
      <c r="M173" s="159" t="n">
        <v>-0.025971057055563795</v>
      </c>
      <c r="N173" s="166"/>
      <c r="P173" s="165"/>
      <c r="Q173" t="n" s="157">
        <v>45468.0</v>
      </c>
      <c r="R173" s="157"/>
      <c r="S173" s="160" t="n">
        <v>1.131974</v>
      </c>
      <c r="T173" s="160" t="n">
        <v>2.261996</v>
      </c>
      <c r="U173" s="166"/>
    </row>
    <row r="174" spans="9:20" x14ac:dyDescent="0.2">
      <c r="H174" s="165"/>
      <c r="I174" s="161" t="n">
        <v>45469.0</v>
      </c>
      <c r="J174" s="161"/>
      <c r="K174" s="163" t="n">
        <v>0.5007062146892656</v>
      </c>
      <c r="L174" s="163" t="n">
        <v>0.20462771969793578</v>
      </c>
      <c r="M174" s="163" t="n">
        <v>-0.027754700585802317</v>
      </c>
      <c r="N174" s="166"/>
      <c r="P174" s="165"/>
      <c r="Q174" t="n" s="161">
        <v>45469.0</v>
      </c>
      <c r="R174" s="161"/>
      <c r="S174" s="164" t="n">
        <v>1.12299</v>
      </c>
      <c r="T174" s="164" t="n">
        <v>2.258305</v>
      </c>
      <c r="U174" s="166"/>
    </row>
    <row r="175" spans="9:20" x14ac:dyDescent="0.2">
      <c r="H175" s="165"/>
      <c r="I175" s="157" t="n">
        <v>45470.0</v>
      </c>
      <c r="J175" s="157"/>
      <c r="K175" s="159" t="n">
        <v>0.4929378531073447</v>
      </c>
      <c r="L175" s="159" t="n">
        <v>0.20572065672980913</v>
      </c>
      <c r="M175" s="159" t="n">
        <v>-0.014877055374613701</v>
      </c>
      <c r="N175" s="166"/>
      <c r="P175" s="165"/>
      <c r="Q175" t="n" s="157">
        <v>45470.0</v>
      </c>
      <c r="R175" s="157"/>
      <c r="S175" s="160" t="n">
        <v>1.117177</v>
      </c>
      <c r="T175" s="160" t="n">
        <v>2.28437</v>
      </c>
      <c r="U175" s="166"/>
    </row>
    <row r="176" spans="9:20" x14ac:dyDescent="0.2">
      <c r="H176" s="165"/>
      <c r="I176" s="161" t="n">
        <v>45471.0</v>
      </c>
      <c r="J176" s="161"/>
      <c r="K176" s="163" t="n">
        <v>0.5268361581920904</v>
      </c>
      <c r="L176" s="163" t="n">
        <v>0.20079694241519275</v>
      </c>
      <c r="M176" s="163" t="n">
        <v>-0.008236482703161907</v>
      </c>
      <c r="N176" s="166"/>
      <c r="P176" s="165"/>
      <c r="Q176" t="n" s="161">
        <v>45471.0</v>
      </c>
      <c r="R176" s="161"/>
      <c r="S176" s="164" t="n">
        <v>1.142543</v>
      </c>
      <c r="T176" s="164" t="n">
        <v>2.302807</v>
      </c>
      <c r="U176" s="166"/>
    </row>
    <row r="177" spans="9:20" x14ac:dyDescent="0.2">
      <c r="H177" s="165"/>
      <c r="I177" s="157" t="n">
        <v>45474.0</v>
      </c>
      <c r="J177" s="157"/>
      <c r="K177" s="159" t="n">
        <v>0.5233050847457628</v>
      </c>
      <c r="L177" s="159" t="n">
        <v>0.2040097814565749</v>
      </c>
      <c r="M177" s="159" t="n">
        <v>-0.01638718531925154</v>
      </c>
      <c r="N177" s="166"/>
      <c r="P177" s="165"/>
      <c r="Q177" t="n" s="157">
        <v>45474.0</v>
      </c>
      <c r="R177" s="157"/>
      <c r="S177" s="160" t="n">
        <v>1.139901</v>
      </c>
      <c r="T177" s="160" t="n">
        <v>2.284259</v>
      </c>
      <c r="U177" s="166"/>
    </row>
    <row r="178" spans="9:20" x14ac:dyDescent="0.2">
      <c r="H178" s="165"/>
      <c r="I178" s="161" t="n">
        <v>45475.0</v>
      </c>
      <c r="J178" s="161"/>
      <c r="K178" s="163" t="n">
        <v>0.5127118644067798</v>
      </c>
      <c r="L178" s="163" t="n">
        <v>0.21146902172239845</v>
      </c>
      <c r="M178" s="163" t="n">
        <v>0.01573735451848024</v>
      </c>
      <c r="N178" s="166"/>
      <c r="P178" s="165"/>
      <c r="Q178" t="n" s="161">
        <v>45475.0</v>
      </c>
      <c r="R178" s="161"/>
      <c r="S178" s="164" t="n">
        <v>1.131974</v>
      </c>
      <c r="T178" s="164" t="n">
        <v>2.354333</v>
      </c>
      <c r="U178" s="166"/>
    </row>
    <row r="179" spans="9:20" x14ac:dyDescent="0.2">
      <c r="H179" s="165"/>
      <c r="I179" s="157" t="n">
        <v>45476.0</v>
      </c>
      <c r="J179" s="157"/>
      <c r="K179" s="159" t="n">
        <v>0.5084745762711864</v>
      </c>
      <c r="L179" s="159" t="n">
        <v>0.21762861251973664</v>
      </c>
      <c r="M179" s="159" t="n">
        <v>0.01992092936414025</v>
      </c>
      <c r="N179" s="166"/>
      <c r="P179" s="165"/>
      <c r="Q179" t="n" s="157">
        <v>45476.0</v>
      </c>
      <c r="R179" s="157"/>
      <c r="S179" s="160" t="n">
        <v>1.128803</v>
      </c>
      <c r="T179" s="160" t="n">
        <v>2.353672</v>
      </c>
      <c r="U179" s="166"/>
    </row>
    <row r="180" spans="9:20" x14ac:dyDescent="0.2">
      <c r="H180" s="165"/>
      <c r="I180" s="161" t="n">
        <v>45478.0</v>
      </c>
      <c r="J180" s="161"/>
      <c r="K180" s="163" t="n">
        <v>0.5346045197740112</v>
      </c>
      <c r="L180" s="163" t="n">
        <v>0.2242632021075872</v>
      </c>
      <c r="M180" s="163" t="n">
        <v>0.020526274970133374</v>
      </c>
      <c r="N180" s="166"/>
      <c r="P180" s="165"/>
      <c r="Q180" t="n" s="161">
        <v>45478.0</v>
      </c>
      <c r="R180" s="161"/>
      <c r="S180" s="164" t="n">
        <v>1.148357</v>
      </c>
      <c r="T180" s="164" t="n">
        <v>2.35474</v>
      </c>
      <c r="U180" s="166"/>
    </row>
    <row r="181" spans="9:20" x14ac:dyDescent="0.2">
      <c r="H181" s="165"/>
      <c r="I181" s="157" t="n">
        <v>45481.0</v>
      </c>
      <c r="J181" s="157"/>
      <c r="K181" s="159" t="n">
        <v>0.5423728813559321</v>
      </c>
      <c r="L181" s="159" t="n">
        <v>0.22550787486420767</v>
      </c>
      <c r="M181" s="159" t="n">
        <v>0.0504038809136238</v>
      </c>
      <c r="N181" s="166"/>
      <c r="P181" s="165"/>
      <c r="Q181" t="n" s="157">
        <v>45481.0</v>
      </c>
      <c r="R181" s="157"/>
      <c r="S181" s="160" t="n">
        <v>1.15417</v>
      </c>
      <c r="T181" s="160" t="n">
        <v>2.413498</v>
      </c>
      <c r="U181" s="166"/>
    </row>
    <row r="182" spans="9:20" x14ac:dyDescent="0.2">
      <c r="H182" s="165"/>
      <c r="I182" s="161" t="n">
        <v>45482.0</v>
      </c>
      <c r="J182" s="161"/>
      <c r="K182" s="163" t="n">
        <v>0.5303672316384183</v>
      </c>
      <c r="L182" s="163" t="n">
        <v>0.22641609014421468</v>
      </c>
      <c r="M182" s="163" t="n">
        <v>0.054956747553880136</v>
      </c>
      <c r="N182" s="166"/>
      <c r="P182" s="165"/>
      <c r="Q182" t="n" s="161">
        <v>45482.0</v>
      </c>
      <c r="R182" s="161"/>
      <c r="S182" s="164" t="n">
        <v>1.145186</v>
      </c>
      <c r="T182" s="164" t="n">
        <v>2.418903</v>
      </c>
      <c r="U182" s="166"/>
    </row>
    <row r="183" spans="9:20" x14ac:dyDescent="0.2">
      <c r="H183" s="165"/>
      <c r="I183" s="157" t="n">
        <v>45483.0</v>
      </c>
      <c r="J183" s="157"/>
      <c r="K183" s="159" t="n">
        <v>0.5176553672316382</v>
      </c>
      <c r="L183" s="159" t="n">
        <v>0.23893538697007943</v>
      </c>
      <c r="M183" s="159" t="n">
        <v>0.07730075936998371</v>
      </c>
      <c r="N183" s="166"/>
      <c r="P183" s="165"/>
      <c r="Q183" t="n" s="157">
        <v>45483.0</v>
      </c>
      <c r="R183" s="157"/>
      <c r="S183" s="160" t="n">
        <v>1.135673</v>
      </c>
      <c r="T183" s="160" t="n">
        <v>2.453637</v>
      </c>
      <c r="U183" s="166"/>
    </row>
    <row r="184" spans="9:20" x14ac:dyDescent="0.2">
      <c r="H184" s="165"/>
      <c r="I184" s="161" t="n">
        <v>45484.0</v>
      </c>
      <c r="J184" s="161"/>
      <c r="K184" s="163" t="n">
        <v>0.522598870056497</v>
      </c>
      <c r="L184" s="163" t="n">
        <v>0.22807858591100819</v>
      </c>
      <c r="M184" s="163" t="n">
        <v>0.10947229883057341</v>
      </c>
      <c r="N184" s="166"/>
      <c r="P184" s="165"/>
      <c r="Q184" t="n" s="161">
        <v>45484.0</v>
      </c>
      <c r="R184" s="161"/>
      <c r="S184" s="164" t="n">
        <v>1.139373</v>
      </c>
      <c r="T184" s="164" t="n">
        <v>2.525367</v>
      </c>
      <c r="U184" s="166"/>
    </row>
    <row r="185" spans="9:20" x14ac:dyDescent="0.2">
      <c r="H185" s="165"/>
      <c r="I185" s="157" t="n">
        <v>45485.0</v>
      </c>
      <c r="J185" s="157"/>
      <c r="K185" s="159" t="n">
        <v>0.5254237288135595</v>
      </c>
      <c r="L185" s="159" t="n">
        <v>0.23485391588123286</v>
      </c>
      <c r="M185" s="159" t="n">
        <v>0.10825285171104572</v>
      </c>
      <c r="N185" s="166"/>
      <c r="P185" s="165"/>
      <c r="Q185" t="n" s="157">
        <v>45485.0</v>
      </c>
      <c r="R185" s="157"/>
      <c r="S185" s="160" t="n">
        <v>1.141487</v>
      </c>
      <c r="T185" s="160" t="n">
        <v>2.52491</v>
      </c>
      <c r="U185" s="166"/>
    </row>
    <row r="186" spans="9:20" x14ac:dyDescent="0.2">
      <c r="H186" s="165"/>
      <c r="I186" s="161" t="n">
        <v>45488.0</v>
      </c>
      <c r="J186" s="161"/>
      <c r="K186" s="163" t="n">
        <v>0.5035310734463276</v>
      </c>
      <c r="L186" s="163" t="n">
        <v>0.23834383755041366</v>
      </c>
      <c r="M186" s="163" t="n">
        <v>0.1213165836032488</v>
      </c>
      <c r="N186" s="166"/>
      <c r="P186" s="165"/>
      <c r="Q186" t="n" s="161">
        <v>45488.0</v>
      </c>
      <c r="R186" s="161"/>
      <c r="S186" s="164" t="n">
        <v>1.125104</v>
      </c>
      <c r="T186" s="164" t="n">
        <v>2.564009</v>
      </c>
      <c r="U186" s="166"/>
    </row>
    <row r="187" spans="9:20" x14ac:dyDescent="0.2">
      <c r="H187" s="165"/>
      <c r="I187" s="157" t="n">
        <v>45489.0</v>
      </c>
      <c r="J187" s="157"/>
      <c r="K187" s="159" t="n">
        <v>0.47245762711864425</v>
      </c>
      <c r="L187" s="159" t="n">
        <v>0.24625608592200332</v>
      </c>
      <c r="M187" s="159" t="n">
        <v>0.15304556527637891</v>
      </c>
      <c r="N187" s="166"/>
      <c r="P187" s="165"/>
      <c r="Q187" t="n" s="157">
        <v>45489.0</v>
      </c>
      <c r="R187" s="157"/>
      <c r="S187" s="160" t="n">
        <v>1.101852</v>
      </c>
      <c r="T187" s="160" t="n">
        <v>2.636561</v>
      </c>
      <c r="U187" s="166"/>
    </row>
    <row r="188" spans="9:20" x14ac:dyDescent="0.2">
      <c r="H188" s="165"/>
      <c r="I188" s="161" t="n">
        <v>45490.0</v>
      </c>
      <c r="J188" s="161"/>
      <c r="K188" s="163" t="n">
        <v>0.46751412429378547</v>
      </c>
      <c r="L188" s="163" t="n">
        <v>0.22889883845203188</v>
      </c>
      <c r="M188" s="163" t="n">
        <v>0.13655219969938548</v>
      </c>
      <c r="N188" s="166"/>
      <c r="P188" s="165"/>
      <c r="Q188" t="n" s="161">
        <v>45490.0</v>
      </c>
      <c r="R188" s="161"/>
      <c r="S188" s="164" t="n">
        <v>1.098152</v>
      </c>
      <c r="T188" s="164" t="n">
        <v>2.609865</v>
      </c>
      <c r="U188" s="166"/>
    </row>
    <row r="189" spans="9:20" x14ac:dyDescent="0.2">
      <c r="H189" s="165"/>
      <c r="I189" s="157" t="n">
        <v>45491.0</v>
      </c>
      <c r="J189" s="157"/>
      <c r="K189" s="159" t="n">
        <v>0.5331920903954803</v>
      </c>
      <c r="L189" s="159" t="n">
        <v>0.2192933073550045</v>
      </c>
      <c r="M189" s="159" t="n">
        <v>0.1292054067271664</v>
      </c>
      <c r="N189" s="166"/>
      <c r="P189" s="165"/>
      <c r="Q189" t="n" s="157">
        <v>45491.0</v>
      </c>
      <c r="R189" s="157"/>
      <c r="S189" s="160" t="n">
        <v>1.1473</v>
      </c>
      <c r="T189" s="160" t="n">
        <v>2.588535</v>
      </c>
      <c r="U189" s="166"/>
    </row>
    <row r="190" spans="9:20" x14ac:dyDescent="0.2">
      <c r="H190" s="165"/>
      <c r="I190" s="161" t="n">
        <v>45492.0</v>
      </c>
      <c r="J190" s="161"/>
      <c r="K190" s="163" t="n">
        <v>0.509180790960452</v>
      </c>
      <c r="L190" s="163" t="n">
        <v>0.2105871952640861</v>
      </c>
      <c r="M190" s="163" t="n">
        <v>0.11448004723702887</v>
      </c>
      <c r="N190" s="166"/>
      <c r="P190" s="165"/>
      <c r="Q190" t="n" s="161">
        <v>45492.0</v>
      </c>
      <c r="R190" s="161"/>
      <c r="S190" s="164" t="n">
        <v>1.129332</v>
      </c>
      <c r="T190" s="164" t="n">
        <v>2.552917</v>
      </c>
      <c r="U190" s="166"/>
    </row>
    <row r="191" spans="9:20" x14ac:dyDescent="0.2">
      <c r="H191" s="165"/>
      <c r="I191" s="157" t="n">
        <v>45495.0</v>
      </c>
      <c r="J191" s="157"/>
      <c r="K191" s="159" t="n">
        <v>0.5324858757062145</v>
      </c>
      <c r="L191" s="159" t="n">
        <v>0.22365186107165003</v>
      </c>
      <c r="M191" s="159" t="n">
        <v>0.13719841327633708</v>
      </c>
      <c r="N191" s="166"/>
      <c r="P191" s="165"/>
      <c r="Q191" t="n" s="157">
        <v>45495.0</v>
      </c>
      <c r="R191" s="157"/>
      <c r="S191" s="160" t="n">
        <v>1.146771</v>
      </c>
      <c r="T191" s="160" t="n">
        <v>2.59226</v>
      </c>
      <c r="U191" s="166"/>
    </row>
    <row r="192" spans="9:20" x14ac:dyDescent="0.2">
      <c r="H192" s="165"/>
      <c r="I192" s="161" t="n">
        <v>45496.0</v>
      </c>
      <c r="J192" s="161"/>
      <c r="K192" s="163" t="n">
        <v>0.5713276836158192</v>
      </c>
      <c r="L192" s="163" t="n">
        <v>0.22174526870417677</v>
      </c>
      <c r="M192" s="163" t="n">
        <v>0.15148528306176412</v>
      </c>
      <c r="N192" s="166"/>
      <c r="P192" s="165"/>
      <c r="Q192" t="n" s="161">
        <v>45496.0</v>
      </c>
      <c r="R192" s="161"/>
      <c r="S192" s="164" t="n">
        <v>1.175837</v>
      </c>
      <c r="T192" s="164" t="n">
        <v>2.624581</v>
      </c>
      <c r="U192" s="166"/>
    </row>
    <row r="193" spans="9:20" x14ac:dyDescent="0.2">
      <c r="H193" s="165"/>
      <c r="I193" s="157" t="n">
        <v>45497.0</v>
      </c>
      <c r="J193" s="157"/>
      <c r="K193" s="159" t="n">
        <v>0.5197740112994349</v>
      </c>
      <c r="L193" s="159" t="n">
        <v>0.1934630490524214</v>
      </c>
      <c r="M193" s="159" t="n">
        <v>0.1214965767473899</v>
      </c>
      <c r="N193" s="166"/>
      <c r="P193" s="165"/>
      <c r="Q193" t="n" s="157">
        <v>45497.0</v>
      </c>
      <c r="R193" s="157"/>
      <c r="S193" s="160" t="n">
        <v>1.137259</v>
      </c>
      <c r="T193" s="160" t="n">
        <v>2.568029</v>
      </c>
      <c r="U193" s="166"/>
    </row>
    <row r="194" spans="9:20" x14ac:dyDescent="0.2">
      <c r="H194" s="165"/>
      <c r="I194" s="161" t="n">
        <v>45498.0</v>
      </c>
      <c r="J194" s="161"/>
      <c r="K194" s="163" t="n">
        <v>0.5049435028248586</v>
      </c>
      <c r="L194" s="163" t="n">
        <v>0.18732544893982905</v>
      </c>
      <c r="M194" s="163" t="n">
        <v>0.1195602736373802</v>
      </c>
      <c r="N194" s="166"/>
      <c r="P194" s="165"/>
      <c r="Q194" t="n" s="161">
        <v>45498.0</v>
      </c>
      <c r="R194" s="161"/>
      <c r="S194" s="164" t="n">
        <v>1.126161</v>
      </c>
      <c r="T194" s="164" t="n">
        <v>2.568301</v>
      </c>
      <c r="U194" s="166"/>
    </row>
    <row r="195" spans="9:20" x14ac:dyDescent="0.2">
      <c r="H195" s="165"/>
      <c r="I195" s="157" t="n">
        <v>45499.0</v>
      </c>
      <c r="J195" s="157"/>
      <c r="K195" s="159" t="n">
        <v>0.5529661016949152</v>
      </c>
      <c r="L195" s="159" t="n">
        <v>0.20049347096569892</v>
      </c>
      <c r="M195" s="159" t="n">
        <v>0.12583446269943832</v>
      </c>
      <c r="N195" s="166"/>
      <c r="P195" s="165"/>
      <c r="Q195" t="n" s="157">
        <v>45499.0</v>
      </c>
      <c r="R195" s="157"/>
      <c r="S195" s="160" t="n">
        <v>1.162097</v>
      </c>
      <c r="T195" s="160" t="n">
        <v>2.582185</v>
      </c>
      <c r="U195" s="166"/>
    </row>
    <row r="196" spans="9:20" x14ac:dyDescent="0.2">
      <c r="H196" s="165"/>
      <c r="I196" s="161" t="n">
        <v>45502.0</v>
      </c>
      <c r="J196" s="161"/>
      <c r="K196" s="163" t="n">
        <v>0.5932203389830508</v>
      </c>
      <c r="L196" s="163" t="n">
        <v>0.2014698573684186</v>
      </c>
      <c r="M196" s="163" t="n">
        <v>0.13675476438198042</v>
      </c>
      <c r="N196" s="166"/>
      <c r="P196" s="165"/>
      <c r="Q196" t="n" s="161">
        <v>45502.0</v>
      </c>
      <c r="R196" s="161"/>
      <c r="S196" s="164" t="n">
        <v>1.192219</v>
      </c>
      <c r="T196" s="164" t="n">
        <v>2.602058</v>
      </c>
      <c r="U196" s="166"/>
    </row>
    <row r="197" spans="9:20" x14ac:dyDescent="0.2">
      <c r="H197" s="165"/>
      <c r="I197" s="157" t="n">
        <v>45503.0</v>
      </c>
      <c r="J197" s="157"/>
      <c r="K197" s="159" t="n">
        <v>0.615819209039548</v>
      </c>
      <c r="L197" s="159" t="n">
        <v>0.19551038180226854</v>
      </c>
      <c r="M197" s="159" t="n">
        <v>0.12919590228830158</v>
      </c>
      <c r="N197" s="166"/>
      <c r="P197" s="165"/>
      <c r="Q197" t="n" s="157">
        <v>45503.0</v>
      </c>
      <c r="R197" s="157"/>
      <c r="S197" s="160" t="n">
        <v>1.20913</v>
      </c>
      <c r="T197" s="160" t="n">
        <v>2.599758</v>
      </c>
      <c r="U197" s="166"/>
    </row>
    <row r="198" spans="9:20" x14ac:dyDescent="0.2">
      <c r="H198" s="165"/>
      <c r="I198" s="161" t="n">
        <v>45504.0</v>
      </c>
      <c r="J198" s="161"/>
      <c r="K198" s="163" t="n">
        <v>0.6652542372881354</v>
      </c>
      <c r="L198" s="163" t="n">
        <v>0.214391583725134</v>
      </c>
      <c r="M198" s="163" t="n">
        <v>0.1466362618304935</v>
      </c>
      <c r="N198" s="166"/>
      <c r="P198" s="165"/>
      <c r="Q198" t="n" s="161">
        <v>45504.0</v>
      </c>
      <c r="R198" s="161"/>
      <c r="S198" s="164" t="n">
        <v>1.246123</v>
      </c>
      <c r="T198" s="164" t="n">
        <v>2.622326</v>
      </c>
      <c r="U198" s="166"/>
    </row>
    <row r="199" spans="9:20" x14ac:dyDescent="0.2">
      <c r="H199" s="165"/>
      <c r="I199" s="157" t="n">
        <v>45505.0</v>
      </c>
      <c r="J199" s="157"/>
      <c r="K199" s="159" t="n">
        <v>0.6306497175141244</v>
      </c>
      <c r="L199" s="159" t="n">
        <v>0.1977622279202531</v>
      </c>
      <c r="M199" s="159" t="n">
        <v>0.10397312743412002</v>
      </c>
      <c r="N199" s="166"/>
      <c r="P199" s="165"/>
      <c r="Q199" t="n" s="157">
        <v>45505.0</v>
      </c>
      <c r="R199" s="157"/>
      <c r="S199" s="160" t="n">
        <v>1.220228</v>
      </c>
      <c r="T199" s="160" t="n">
        <v>2.535747</v>
      </c>
      <c r="U199" s="166"/>
    </row>
    <row r="200" spans="9:20" x14ac:dyDescent="0.2">
      <c r="H200" s="165"/>
      <c r="I200" s="161" t="n">
        <v>45506.0</v>
      </c>
      <c r="J200" s="161"/>
      <c r="K200" s="163" t="n">
        <v>0.7549435028248588</v>
      </c>
      <c r="L200" s="163" t="n">
        <v>0.17574515435261628</v>
      </c>
      <c r="M200" s="163" t="n">
        <v>0.07397491397564426</v>
      </c>
      <c r="N200" s="166"/>
      <c r="P200" s="165"/>
      <c r="Q200" t="n" s="161">
        <v>45506.0</v>
      </c>
      <c r="R200" s="161"/>
      <c r="S200" s="164" t="n">
        <v>1.34398</v>
      </c>
      <c r="T200" s="164" t="n">
        <v>2.501683</v>
      </c>
      <c r="U200" s="166"/>
    </row>
    <row r="201">
      <c r="H201" s="165"/>
      <c r="I201" t="n" s="157">
        <v>45509.0</v>
      </c>
      <c r="J201" s="157"/>
      <c r="K201" t="n" s="159">
        <v>0.7951977401129944</v>
      </c>
      <c r="L201" t="n" s="159">
        <v>0.14050948018419396</v>
      </c>
      <c r="M201" t="n" s="159">
        <v>0.043856902884755966</v>
      </c>
      <c r="N201" s="166"/>
      <c r="P201" s="165"/>
      <c r="Q201" t="n" s="157">
        <v>45509.0</v>
      </c>
      <c r="R201" s="157"/>
      <c r="S201" t="n" s="160">
        <v>1.374807</v>
      </c>
      <c r="T201" t="n" s="160">
        <v>2.430308</v>
      </c>
      <c r="U201" s="166"/>
    </row>
    <row r="202">
      <c r="H202" s="165"/>
      <c r="I202" t="n" s="161">
        <v>45510.0</v>
      </c>
      <c r="J202" s="161"/>
      <c r="K202" t="n" s="163">
        <v>0.8502824858757062</v>
      </c>
      <c r="L202" t="n" s="163">
        <v>0.15231847789276465</v>
      </c>
      <c r="M202" t="n" s="163">
        <v>0.06058916775448031</v>
      </c>
      <c r="N202" s="166"/>
      <c r="P202" s="165"/>
      <c r="Q202" t="n" s="161">
        <v>45510.0</v>
      </c>
      <c r="R202" s="161"/>
      <c r="S202" t="n" s="164">
        <v>1.416993</v>
      </c>
      <c r="T202" t="n" s="164">
        <v>2.466434</v>
      </c>
      <c r="U202" s="166"/>
    </row>
    <row r="203">
      <c r="H203" s="165"/>
      <c r="I203" t="n" s="157">
        <v>45511.0</v>
      </c>
      <c r="J203" s="157"/>
      <c r="K203" t="n" s="159">
        <v>0.8375706214689265</v>
      </c>
      <c r="L203" t="n" s="159">
        <v>0.14340565336523436</v>
      </c>
      <c r="M203" t="n" s="159">
        <v>0.073958560029181</v>
      </c>
      <c r="N203" s="166"/>
      <c r="P203" s="165"/>
      <c r="Q203" t="n" s="157">
        <v>45511.0</v>
      </c>
      <c r="R203" s="157"/>
      <c r="S203" t="n" s="160">
        <v>1.407258</v>
      </c>
      <c r="T203" t="n" s="160">
        <v>2.493706</v>
      </c>
      <c r="U203" s="166"/>
    </row>
    <row r="204">
      <c r="H204" s="165"/>
      <c r="I204" t="n" s="161">
        <v>45512.0</v>
      </c>
      <c r="J204" s="161"/>
      <c r="K204" t="n" s="163">
        <v>0.8340395480225989</v>
      </c>
      <c r="L204" t="n" s="163">
        <v>0.16975269275934715</v>
      </c>
      <c r="M204" t="n" s="163">
        <v>0.09666266974834681</v>
      </c>
      <c r="N204" s="166"/>
      <c r="P204" s="165"/>
      <c r="Q204" t="n" s="161">
        <v>45512.0</v>
      </c>
      <c r="R204" s="161"/>
      <c r="S204" t="n" s="164">
        <v>1.404553</v>
      </c>
      <c r="T204" t="n" s="164">
        <v>2.522938</v>
      </c>
      <c r="U204" s="166"/>
    </row>
    <row r="205">
      <c r="H205" s="165"/>
      <c r="I205" t="n" s="157">
        <v>45513.0</v>
      </c>
      <c r="J205" s="157"/>
      <c r="K205" t="n" s="159">
        <v>0.8347457627118644</v>
      </c>
      <c r="L205" t="n" s="159">
        <v>0.17521737791871358</v>
      </c>
      <c r="M205" t="n" s="159">
        <v>0.08583455023321405</v>
      </c>
      <c r="N205" s="166"/>
      <c r="P205" s="165"/>
      <c r="Q205" t="n" s="157">
        <v>45513.0</v>
      </c>
      <c r="R205" s="157"/>
      <c r="S205" t="n" s="160">
        <v>1.405094</v>
      </c>
      <c r="T205" t="n" s="160">
        <v>2.495938</v>
      </c>
      <c r="U205" s="166"/>
    </row>
    <row r="206">
      <c r="H206" s="165"/>
      <c r="I206" t="n" s="161">
        <v>45516.0</v>
      </c>
      <c r="J206" s="161"/>
      <c r="K206" t="n" s="163">
        <v>0.8997175141242937</v>
      </c>
      <c r="L206" t="n" s="163">
        <v>0.17526795649362925</v>
      </c>
      <c r="M206" t="n" s="163">
        <v>0.08366557353817372</v>
      </c>
      <c r="N206" s="166"/>
      <c r="P206" s="165"/>
      <c r="Q206" t="n" s="161">
        <v>45516.0</v>
      </c>
      <c r="R206" s="161"/>
      <c r="S206" t="n" s="164">
        <v>1.454851</v>
      </c>
      <c r="T206" t="n" s="164">
        <v>2.489203</v>
      </c>
      <c r="U206" s="166"/>
    </row>
    <row r="207">
      <c r="H207" s="165"/>
      <c r="I207" t="n" s="157">
        <v>45517.0</v>
      </c>
      <c r="J207" s="157"/>
      <c r="K207" t="n" s="159">
        <v>0.8735875706214691</v>
      </c>
      <c r="L207" t="n" s="159">
        <v>0.19506836903887526</v>
      </c>
      <c r="M207" t="n" s="159">
        <v>0.08710352582282122</v>
      </c>
      <c r="N207" s="166"/>
      <c r="P207" s="165"/>
      <c r="Q207" t="n" s="157">
        <v>45517.0</v>
      </c>
      <c r="R207" s="157"/>
      <c r="S207" t="n" s="160">
        <v>1.43484</v>
      </c>
      <c r="T207" t="n" s="160">
        <v>2.491934</v>
      </c>
      <c r="U207" s="166"/>
    </row>
    <row r="208">
      <c r="H208" s="165"/>
      <c r="I208" t="n" s="161">
        <v>45518.0</v>
      </c>
      <c r="J208" s="161"/>
      <c r="K208" t="n" s="163">
        <v>0.8615819209039547</v>
      </c>
      <c r="L208" t="n" s="163">
        <v>0.1996380333290817</v>
      </c>
      <c r="M208" t="n" s="163">
        <v>0.12225707604689638</v>
      </c>
      <c r="N208" s="166"/>
      <c r="P208" s="165"/>
      <c r="Q208" t="n" s="161">
        <v>45518.0</v>
      </c>
      <c r="R208" s="161"/>
      <c r="S208" t="n" s="164">
        <v>1.425646</v>
      </c>
      <c r="T208" t="n" s="164">
        <v>2.402067</v>
      </c>
      <c r="U208" s="166"/>
    </row>
    <row r="209">
      <c r="H209" s="165"/>
      <c r="I209" t="n" s="157">
        <v>45519.0</v>
      </c>
      <c r="J209" s="157"/>
      <c r="K209" t="n" s="159">
        <v>0.8728813559322033</v>
      </c>
      <c r="L209" t="n" s="159">
        <v>0.2189920349739851</v>
      </c>
      <c r="M209" t="n" s="159">
        <v>0.1459155306030293</v>
      </c>
      <c r="N209" s="166"/>
      <c r="P209" s="165"/>
      <c r="Q209" t="n" s="157">
        <v>45519.0</v>
      </c>
      <c r="R209" s="157"/>
      <c r="S209" t="n" s="160">
        <v>1.434299</v>
      </c>
      <c r="T209" t="n" s="160">
        <v>2.442682</v>
      </c>
      <c r="U209" s="166"/>
    </row>
    <row r="210">
      <c r="H210" s="165"/>
      <c r="I210" t="n" s="161">
        <v>45520.0</v>
      </c>
      <c r="J210" s="161"/>
      <c r="K210" t="n" s="163">
        <v>0.8728813559322033</v>
      </c>
      <c r="L210" t="n" s="163">
        <v>0.22141760750146244</v>
      </c>
      <c r="M210" t="n" s="163">
        <v>0.16656260861409078</v>
      </c>
      <c r="N210" s="166"/>
      <c r="P210" s="165"/>
      <c r="Q210" t="n" s="161">
        <v>45520.0</v>
      </c>
      <c r="R210" s="161"/>
      <c r="S210" t="n" s="164">
        <v>1.434299</v>
      </c>
      <c r="T210" t="n" s="164">
        <v>2.457568</v>
      </c>
      <c r="U210" s="166"/>
    </row>
    <row r="211">
      <c r="H211" s="165"/>
      <c r="I211" t="n" s="157">
        <v>45523.0</v>
      </c>
      <c r="J211" s="157"/>
      <c r="K211" t="n" s="159">
        <v>0.9307909604519773</v>
      </c>
      <c r="L211" t="n" s="159">
        <v>0.23329257726427088</v>
      </c>
      <c r="M211" t="n" s="159">
        <v>0.18555343876624852</v>
      </c>
      <c r="N211" s="166"/>
      <c r="P211" s="165"/>
      <c r="Q211" t="n" s="157">
        <v>45523.0</v>
      </c>
      <c r="R211" s="157"/>
      <c r="S211" t="n" s="160">
        <v>1.478648</v>
      </c>
      <c r="T211" t="n" s="160">
        <v>2.505512</v>
      </c>
      <c r="U211" s="166"/>
    </row>
    <row r="212">
      <c r="H212" s="165"/>
      <c r="I212" t="n" s="161">
        <v>45524.0</v>
      </c>
      <c r="J212" s="161"/>
      <c r="K212" t="n" s="163">
        <v>0.9138418079096047</v>
      </c>
      <c r="L212" t="n" s="163">
        <v>0.23084501405204746</v>
      </c>
      <c r="M212" t="n" s="163">
        <v>0.17506765817194173</v>
      </c>
      <c r="N212" s="166"/>
      <c r="P212" s="165"/>
      <c r="Q212" t="n" s="161">
        <v>45524.0</v>
      </c>
      <c r="R212" s="161"/>
      <c r="S212" t="n" s="164">
        <v>1.465668</v>
      </c>
      <c r="T212" t="n" s="164">
        <v>2.491823</v>
      </c>
      <c r="U212" s="166"/>
    </row>
    <row r="213">
      <c r="H213" s="165"/>
      <c r="I213" t="n" s="157">
        <v>45525.0</v>
      </c>
      <c r="J213" s="157"/>
      <c r="K213" t="n" s="159">
        <v>0.932909604519774</v>
      </c>
      <c r="L213" t="n" s="159">
        <v>0.23606340354225952</v>
      </c>
      <c r="M213" t="n" s="159">
        <v>0.18088837794297485</v>
      </c>
      <c r="N213" s="166"/>
      <c r="P213" s="165"/>
      <c r="Q213" t="n" s="157">
        <v>45525.0</v>
      </c>
      <c r="R213" s="157"/>
      <c r="S213" t="n" s="160">
        <v>1.480271</v>
      </c>
      <c r="T213" t="n" s="160">
        <v>2.507386</v>
      </c>
      <c r="U213" s="166"/>
    </row>
    <row r="214">
      <c r="H214" s="165"/>
      <c r="I214" t="n" s="161">
        <v>45526.0</v>
      </c>
      <c r="J214" s="161"/>
      <c r="K214" t="n" s="163">
        <v>0.9406779661016949</v>
      </c>
      <c r="L214" t="n" s="163">
        <v>0.22502188073132223</v>
      </c>
      <c r="M214" t="n" s="163">
        <v>0.17701737366235082</v>
      </c>
      <c r="N214" s="166"/>
      <c r="P214" s="165"/>
      <c r="Q214" t="n" s="161">
        <v>45526.0</v>
      </c>
      <c r="R214" s="161"/>
      <c r="S214" t="n" s="164">
        <v>1.48622</v>
      </c>
      <c r="T214" t="n" s="164">
        <v>2.498149</v>
      </c>
      <c r="U214" s="166"/>
    </row>
    <row r="215">
      <c r="H215" s="165"/>
      <c r="I215" t="n" s="157">
        <v>45527.0</v>
      </c>
      <c r="J215" s="157"/>
      <c r="K215" t="n" s="159">
        <v>0.9632768361581922</v>
      </c>
      <c r="L215" t="n" s="159">
        <v>0.239089321763301</v>
      </c>
      <c r="M215" t="n" s="159">
        <v>0.1965476615934851</v>
      </c>
      <c r="N215" s="166"/>
      <c r="P215" s="165"/>
      <c r="Q215" t="n" s="157">
        <v>45527.0</v>
      </c>
      <c r="R215" s="157"/>
      <c r="S215" t="n" s="160">
        <v>1.503527</v>
      </c>
      <c r="T215" t="n" s="160">
        <v>2.527482</v>
      </c>
      <c r="U215" s="166"/>
    </row>
    <row r="216">
      <c r="H216" s="165"/>
      <c r="I216" t="n" s="161">
        <v>45530.0</v>
      </c>
      <c r="J216" s="161"/>
      <c r="K216" t="n" s="163">
        <v>0.989406779661017</v>
      </c>
      <c r="L216" t="n" s="163">
        <v>0.23518157708394719</v>
      </c>
      <c r="M216" t="n" s="163">
        <v>0.17961142430015584</v>
      </c>
      <c r="N216" s="166"/>
      <c r="P216" s="165"/>
      <c r="Q216" t="n" s="161">
        <v>45530.0</v>
      </c>
      <c r="R216" s="161"/>
      <c r="S216" t="n" s="164">
        <v>1.523538</v>
      </c>
      <c r="T216" t="n" s="164">
        <v>2.490438</v>
      </c>
      <c r="U216" s="166"/>
    </row>
    <row r="217">
      <c r="H217" s="165"/>
      <c r="I217" t="n" s="157">
        <v>45531.0</v>
      </c>
      <c r="J217" s="157"/>
      <c r="K217" t="n" s="159">
        <v>0.9901129943502824</v>
      </c>
      <c r="L217" t="n" s="159">
        <v>0.23715194243718352</v>
      </c>
      <c r="M217" t="n" s="159">
        <v>0.178629094804843</v>
      </c>
      <c r="N217" s="166"/>
      <c r="P217" s="165"/>
      <c r="Q217" t="n" s="157">
        <v>45531.0</v>
      </c>
      <c r="R217" s="157"/>
      <c r="S217" t="n" s="160">
        <v>1.524078</v>
      </c>
      <c r="T217" t="n" s="160">
        <v>2.493578</v>
      </c>
      <c r="U217" s="166"/>
    </row>
    <row r="218">
      <c r="H218" s="165"/>
      <c r="I218" t="n" s="161">
        <v>45532.0</v>
      </c>
      <c r="J218" s="161"/>
      <c r="K218" t="n" s="163">
        <v>0.9562146892655367</v>
      </c>
      <c r="L218" t="n" s="163">
        <v>0.22975867422559815</v>
      </c>
      <c r="M218" t="n" s="163">
        <v>0.17365700194416078</v>
      </c>
      <c r="N218" s="166"/>
      <c r="P218" s="165"/>
      <c r="Q218" t="n" s="161">
        <v>45532.0</v>
      </c>
      <c r="R218" s="161"/>
      <c r="S218" t="n" s="164">
        <v>1.498118</v>
      </c>
      <c r="T218" t="n" s="164">
        <v>2.500135</v>
      </c>
      <c r="U218" s="166"/>
    </row>
    <row r="219">
      <c r="H219" s="165"/>
      <c r="I219" t="n" s="157">
        <v>45533.0</v>
      </c>
      <c r="J219" s="157"/>
      <c r="K219" t="n" s="159">
        <v>0.9576271186440677</v>
      </c>
      <c r="L219" t="n" s="159">
        <v>0.2297102947191569</v>
      </c>
      <c r="M219" t="n" s="159">
        <v>0.16351177589692648</v>
      </c>
      <c r="N219" s="166"/>
      <c r="P219" s="165"/>
      <c r="Q219" t="n" s="157">
        <v>45533.0</v>
      </c>
      <c r="R219" s="157"/>
      <c r="S219" t="n" s="160">
        <v>1.4992</v>
      </c>
      <c r="T219" t="n" s="160">
        <v>2.482844</v>
      </c>
      <c r="U219" s="166"/>
    </row>
    <row r="220">
      <c r="H220" s="165"/>
      <c r="I220" t="n" s="161">
        <v>45534.0</v>
      </c>
      <c r="J220" s="161"/>
      <c r="K220" t="n" s="163">
        <v>0.9336158192090394</v>
      </c>
      <c r="L220" t="n" s="163">
        <v>0.2421218371897662</v>
      </c>
      <c r="M220" t="n" s="163">
        <v>0.15486245076826588</v>
      </c>
      <c r="N220" s="166"/>
      <c r="P220" s="165"/>
      <c r="Q220" t="n" s="161">
        <v>45534.0</v>
      </c>
      <c r="R220" s="161"/>
      <c r="S220" t="n" s="164">
        <v>1.480811</v>
      </c>
      <c r="T220" t="n" s="164">
        <v>2.465211</v>
      </c>
      <c r="U220" s="166"/>
    </row>
    <row r="221">
      <c r="H221" s="165"/>
      <c r="I221" t="n" s="157">
        <v>45538.0</v>
      </c>
      <c r="J221" s="157"/>
      <c r="K221" t="n" s="159">
        <v>0.9244350282485876</v>
      </c>
      <c r="L221" t="n" s="159">
        <v>0.21584956612379003</v>
      </c>
      <c r="M221" t="n" s="159">
        <v>0.127960915839048</v>
      </c>
      <c r="N221" s="166"/>
      <c r="P221" s="165"/>
      <c r="Q221" t="n" s="157">
        <v>45538.0</v>
      </c>
      <c r="R221" s="157"/>
      <c r="S221" t="n" s="160">
        <v>1.473781</v>
      </c>
      <c r="T221" t="n" s="160">
        <v>2.422663</v>
      </c>
      <c r="U221" s="166"/>
    </row>
    <row r="222">
      <c r="H222" s="165"/>
      <c r="I222" t="n" s="161">
        <v>45539.0</v>
      </c>
      <c r="J222" s="161"/>
      <c r="K222" t="n" s="163">
        <v>0.9583333333333333</v>
      </c>
      <c r="L222" t="n" s="163">
        <v>0.2139011914552995</v>
      </c>
      <c r="M222" t="n" s="163">
        <v>0.12266758650373454</v>
      </c>
      <c r="N222" s="166"/>
      <c r="P222" s="165"/>
      <c r="Q222" t="n" s="161">
        <v>45539.0</v>
      </c>
      <c r="R222" s="161"/>
      <c r="S222" t="n" s="164">
        <v>1.499741</v>
      </c>
      <c r="T222" t="n" s="164">
        <v>2.40982</v>
      </c>
      <c r="U222" s="166"/>
    </row>
    <row r="223">
      <c r="H223" s="165"/>
      <c r="I223" t="n" s="157">
        <v>45540.0</v>
      </c>
      <c r="J223" s="157"/>
      <c r="K223" t="n" s="159">
        <v>1.018361581920904</v>
      </c>
      <c r="L223" t="n" s="159">
        <v>0.2102375433766257</v>
      </c>
      <c r="M223" t="n" s="159">
        <v>0.10777283955985562</v>
      </c>
      <c r="N223" s="166"/>
      <c r="P223" s="165"/>
      <c r="Q223" t="n" s="157">
        <v>45540.0</v>
      </c>
      <c r="R223" s="157"/>
      <c r="S223" t="n" s="160">
        <v>1.545712</v>
      </c>
      <c r="T223" t="n" s="160">
        <v>2.379153</v>
      </c>
      <c r="U223" s="166"/>
    </row>
    <row r="224">
      <c r="H224" s="165"/>
      <c r="I224" t="n" s="161">
        <v>45541.0</v>
      </c>
      <c r="J224" s="161"/>
      <c r="K224" t="n" s="163">
        <v>0.9837570621468927</v>
      </c>
      <c r="L224" t="n" s="163">
        <v>0.18934859193645573</v>
      </c>
      <c r="M224" t="n" s="163">
        <v>0.09824243152923608</v>
      </c>
      <c r="N224" s="166"/>
      <c r="P224" s="165"/>
      <c r="Q224" t="n" s="161">
        <v>45541.0</v>
      </c>
      <c r="R224" s="161"/>
      <c r="S224" t="n" s="164">
        <v>1.519211</v>
      </c>
      <c r="T224" t="n" s="164">
        <v>2.3556</v>
      </c>
      <c r="U224" s="166"/>
    </row>
    <row r="225">
      <c r="H225" s="165"/>
      <c r="I225" t="n" s="157">
        <v>45544.0</v>
      </c>
      <c r="J225" s="157"/>
      <c r="K225" t="n" s="159">
        <v>1.0197740112994351</v>
      </c>
      <c r="L225" t="n" s="159">
        <v>0.20312135779283902</v>
      </c>
      <c r="M225" t="n" s="159">
        <v>0.09704703045089502</v>
      </c>
      <c r="N225" s="166"/>
      <c r="P225" s="165"/>
      <c r="Q225" t="n" s="157">
        <v>45544.0</v>
      </c>
      <c r="R225" s="157"/>
      <c r="S225" t="n" s="160">
        <v>1.546794</v>
      </c>
      <c r="T225" t="n" s="160">
        <v>2.353754</v>
      </c>
      <c r="U225" s="166"/>
    </row>
    <row r="226">
      <c r="H226" s="165"/>
      <c r="I226" t="n" s="161">
        <v>45545.0</v>
      </c>
      <c r="J226" s="161"/>
      <c r="K226" t="n" s="163">
        <v>1.0162429378531073</v>
      </c>
      <c r="L226" t="n" s="163">
        <v>0.208502478350171</v>
      </c>
      <c r="M226" t="n" s="163">
        <v>0.07042188729316501</v>
      </c>
      <c r="N226" s="166"/>
      <c r="P226" s="165"/>
      <c r="Q226" t="n" s="161">
        <v>45545.0</v>
      </c>
      <c r="R226" s="161"/>
      <c r="S226" t="n" s="164">
        <v>1.544089</v>
      </c>
      <c r="T226" t="n" s="164">
        <v>2.330445</v>
      </c>
      <c r="U226" s="166"/>
    </row>
    <row r="227">
      <c r="H227" s="165"/>
      <c r="I227" t="n" s="157">
        <v>45546.0</v>
      </c>
      <c r="J227" s="157"/>
      <c r="K227" t="n" s="159">
        <v>0.9936440677966101</v>
      </c>
      <c r="L227" t="n" s="159">
        <v>0.2213912186797673</v>
      </c>
      <c r="M227" t="n" s="159">
        <v>0.07888587562475258</v>
      </c>
      <c r="N227" s="166"/>
      <c r="P227" s="165"/>
      <c r="Q227" t="n" s="157">
        <v>45546.0</v>
      </c>
      <c r="R227" s="157"/>
      <c r="S227" t="n" s="160">
        <v>1.526783</v>
      </c>
      <c r="T227" t="n" s="160">
        <v>2.324447</v>
      </c>
      <c r="U227" s="166"/>
    </row>
    <row r="228">
      <c r="H228" s="165"/>
      <c r="I228" t="n" s="161">
        <v>45547.0</v>
      </c>
      <c r="J228" s="161"/>
      <c r="K228" t="n" s="163">
        <v>1.0197740112994351</v>
      </c>
      <c r="L228" t="n" s="163">
        <v>0.23054594073950274</v>
      </c>
      <c r="M228" t="n" s="163">
        <v>0.07158091970419855</v>
      </c>
      <c r="N228" s="166"/>
      <c r="P228" s="165"/>
      <c r="Q228" t="n" s="161">
        <v>45547.0</v>
      </c>
      <c r="R228" s="161"/>
      <c r="S228" t="n" s="164">
        <v>1.546794</v>
      </c>
      <c r="T228" t="n" s="164">
        <v>2.310292</v>
      </c>
      <c r="U228" s="166"/>
    </row>
    <row r="229">
      <c r="H229" s="165"/>
      <c r="I229" t="n" s="157">
        <v>45548.0</v>
      </c>
      <c r="J229" s="157"/>
      <c r="K229" t="n" s="159">
        <v>1.0303672316384183</v>
      </c>
      <c r="L229" t="n" s="159">
        <v>0.23720032194362475</v>
      </c>
      <c r="M229" t="n" s="159">
        <v>0.08851205915913084</v>
      </c>
      <c r="N229" s="166"/>
      <c r="P229" s="165"/>
      <c r="Q229" t="n" s="157">
        <v>45548.0</v>
      </c>
      <c r="R229" s="157"/>
      <c r="S229" t="n" s="160">
        <v>1.554906</v>
      </c>
      <c r="T229" t="n" s="160">
        <v>2.344245</v>
      </c>
      <c r="U229" s="166"/>
    </row>
    <row r="230">
      <c r="H230" s="165"/>
      <c r="I230" t="n" s="161">
        <v>45551.0</v>
      </c>
      <c r="J230" s="161"/>
      <c r="K230" t="n" s="163">
        <v>1.0063559322033897</v>
      </c>
      <c r="L230" t="n" s="163">
        <v>0.2387550633551627</v>
      </c>
      <c r="M230" t="n" s="163">
        <v>0.08291351080685905</v>
      </c>
      <c r="N230" s="166"/>
      <c r="P230" s="165"/>
      <c r="Q230" t="n" s="161">
        <v>45551.0</v>
      </c>
      <c r="R230" s="161"/>
      <c r="S230" t="n" s="164">
        <v>1.536518</v>
      </c>
      <c r="T230" t="n" s="164">
        <v>2.336571</v>
      </c>
      <c r="U230" s="166"/>
    </row>
    <row r="231">
      <c r="H231" s="165"/>
      <c r="I231" t="n" s="157">
        <v>45552.0</v>
      </c>
      <c r="J231" s="157"/>
      <c r="K231" t="n" s="159">
        <v>1.0190677966101696</v>
      </c>
      <c r="L231" t="n" s="159">
        <v>0.23908272455787727</v>
      </c>
      <c r="M231" t="n" s="159">
        <v>0.07827468500165735</v>
      </c>
      <c r="N231" s="166"/>
      <c r="P231" s="165"/>
      <c r="Q231" t="n" s="157">
        <v>45552.0</v>
      </c>
      <c r="R231" s="157"/>
      <c r="S231" t="n" s="160">
        <v>1.546253</v>
      </c>
      <c r="T231" t="n" s="160">
        <v>2.335301</v>
      </c>
      <c r="U231" s="166"/>
    </row>
    <row r="232">
      <c r="H232" s="165"/>
      <c r="I232" t="n" s="161">
        <v>45553.0</v>
      </c>
      <c r="J232" s="161"/>
      <c r="K232" t="n" s="163">
        <v>1.0211864406779663</v>
      </c>
      <c r="L232" t="n" s="163">
        <v>0.2354938448073396</v>
      </c>
      <c r="M232" t="n" s="163">
        <v>0.07243936430598108</v>
      </c>
      <c r="N232" s="166"/>
      <c r="P232" s="165"/>
      <c r="Q232" t="n" s="161">
        <v>45553.0</v>
      </c>
      <c r="R232" s="161"/>
      <c r="S232" t="n" s="164">
        <v>1.547875</v>
      </c>
      <c r="T232" t="n" s="164">
        <v>2.334332</v>
      </c>
      <c r="U232" s="166"/>
    </row>
    <row r="233">
      <c r="H233" s="165"/>
      <c r="I233" t="n" s="157">
        <v>45554.0</v>
      </c>
      <c r="J233" s="157"/>
      <c r="K233" t="n" s="159">
        <v>1.0007062146892656</v>
      </c>
      <c r="L233" t="n" s="159">
        <v>0.25646855991801876</v>
      </c>
      <c r="M233" t="n" s="159">
        <v>0.09924405924231294</v>
      </c>
      <c r="N233" s="166"/>
      <c r="P233" s="165"/>
      <c r="Q233" t="n" s="157">
        <v>45554.0</v>
      </c>
      <c r="R233" s="157"/>
      <c r="S233" t="n" s="160">
        <v>1.532191</v>
      </c>
      <c r="T233" t="n" s="160">
        <v>2.36878</v>
      </c>
      <c r="U233" s="166"/>
    </row>
    <row r="234">
      <c r="H234" s="165"/>
      <c r="I234" t="n" s="161">
        <v>45555.0</v>
      </c>
      <c r="J234" s="161"/>
      <c r="K234" t="n" s="163">
        <v>1.0</v>
      </c>
      <c r="L234" t="n" s="163">
        <v>0.25402979297969375</v>
      </c>
      <c r="M234" t="n" s="163">
        <v>0.07484767557250938</v>
      </c>
      <c r="N234" s="166"/>
      <c r="P234" s="165"/>
      <c r="Q234" t="n" s="161">
        <v>45555.0</v>
      </c>
      <c r="R234" s="161"/>
      <c r="S234" t="n" s="164">
        <v>1.53165</v>
      </c>
      <c r="T234" t="n" s="164">
        <v>2.325387</v>
      </c>
      <c r="U234" s="166"/>
    </row>
    <row r="235">
      <c r="H235" s="165"/>
      <c r="I235" t="n" s="157">
        <v>45558.0</v>
      </c>
      <c r="J235" s="157"/>
      <c r="K235" t="n" s="159">
        <v>0.9505649717514124</v>
      </c>
      <c r="L235" t="n" s="159">
        <v>0.25755270067599345</v>
      </c>
      <c r="M235" t="n" s="159">
        <v>0.06598965884351848</v>
      </c>
      <c r="N235" s="166"/>
      <c r="P235" s="165"/>
      <c r="Q235" t="n" s="157">
        <v>45558.0</v>
      </c>
      <c r="R235" s="157"/>
      <c r="S235" t="n" s="160">
        <v>1.493792</v>
      </c>
      <c r="T235" t="n" s="160">
        <v>2.306844</v>
      </c>
      <c r="U235" s="166"/>
    </row>
    <row r="236">
      <c r="H236" s="165"/>
      <c r="I236" t="n" s="161">
        <v>45559.0</v>
      </c>
      <c r="J236" s="161"/>
      <c r="K236" t="n" s="163">
        <v>0.9569209039548023</v>
      </c>
      <c r="L236" t="n" s="163">
        <v>0.2607105630055109</v>
      </c>
      <c r="M236" t="n" s="163">
        <v>0.06528856570415442</v>
      </c>
      <c r="N236" s="166"/>
      <c r="P236" s="165"/>
      <c r="Q236" t="n" s="161">
        <v>45559.0</v>
      </c>
      <c r="R236" s="161"/>
      <c r="S236" t="n" s="164">
        <v>1.498659</v>
      </c>
      <c r="T236" t="n" s="164">
        <v>2.291942</v>
      </c>
      <c r="U236" s="166"/>
    </row>
    <row r="237">
      <c r="H237" s="165"/>
      <c r="I237" t="n" s="157">
        <v>45560.0</v>
      </c>
      <c r="J237" s="157"/>
      <c r="K237" t="n" s="159">
        <v>0.8968926553672315</v>
      </c>
      <c r="L237" t="n" s="159">
        <v>0.258364156943119</v>
      </c>
      <c r="M237" t="n" s="159">
        <v>0.06197265732219903</v>
      </c>
      <c r="N237" s="166"/>
      <c r="P237" s="165"/>
      <c r="Q237" t="n" s="157">
        <v>45560.0</v>
      </c>
      <c r="R237" s="157"/>
      <c r="S237" t="n" s="160">
        <v>1.452688</v>
      </c>
      <c r="T237" t="n" s="160">
        <v>2.280781</v>
      </c>
      <c r="U237" s="166"/>
    </row>
    <row r="238">
      <c r="H238" s="165"/>
      <c r="I238" t="n" s="161">
        <v>45561.0</v>
      </c>
      <c r="J238" s="161"/>
      <c r="K238" t="n" s="163">
        <v>0.9371468926553672</v>
      </c>
      <c r="L238" t="n" s="163">
        <v>0.263446204187906</v>
      </c>
      <c r="M238" t="n" s="163">
        <v>0.07764723043004529</v>
      </c>
      <c r="N238" s="166"/>
      <c r="P238" s="165"/>
      <c r="Q238" t="n" s="161">
        <v>45561.0</v>
      </c>
      <c r="R238" s="161"/>
      <c r="S238" t="n" s="164">
        <v>1.483516</v>
      </c>
      <c r="T238" t="n" s="164">
        <v>2.2993</v>
      </c>
      <c r="U238" s="166"/>
    </row>
    <row r="239">
      <c r="H239" s="165"/>
      <c r="I239" t="n" s="157">
        <v>45562.0</v>
      </c>
      <c r="J239" s="157"/>
      <c r="K239" t="n" s="159">
        <v>0.9661016949152541</v>
      </c>
      <c r="L239" t="n" s="159">
        <v>0.2618628748861982</v>
      </c>
      <c r="M239" t="n" s="159">
        <v>0.0783290621140531</v>
      </c>
      <c r="N239" s="166"/>
      <c r="P239" s="165"/>
      <c r="Q239" t="n" s="157">
        <v>45562.0</v>
      </c>
      <c r="R239" s="157"/>
      <c r="S239" t="n" s="160">
        <v>1.50569</v>
      </c>
      <c r="T239" t="n" s="160">
        <v>2.303774</v>
      </c>
      <c r="U239" s="166"/>
    </row>
    <row r="240">
      <c r="H240" s="165"/>
      <c r="I240" t="n" s="161">
        <v>45565.0</v>
      </c>
      <c r="J240" s="161"/>
      <c r="K240" t="n" s="163">
        <v>0.9661016949152541</v>
      </c>
      <c r="L240" t="n" s="163">
        <v>0.2672088103479364</v>
      </c>
      <c r="M240" t="n" s="163">
        <v>0.07779185060535565</v>
      </c>
      <c r="N240" s="166"/>
      <c r="P240" s="165"/>
      <c r="Q240" t="n" s="161">
        <v>45565.0</v>
      </c>
      <c r="R240" s="161"/>
      <c r="S240" t="n" s="164">
        <v>1.50569</v>
      </c>
      <c r="T240" t="n" s="164">
        <v>2.290091</v>
      </c>
      <c r="U240" s="166"/>
    </row>
    <row r="241">
      <c r="H241" s="165"/>
      <c r="I241" t="n" s="157">
        <v>45566.0</v>
      </c>
      <c r="J241" s="157"/>
      <c r="K241" t="n" s="159">
        <v>0.9399717514124294</v>
      </c>
      <c r="L241" t="n" s="159">
        <v>0.2553932154339422</v>
      </c>
      <c r="M241" t="n" s="159">
        <v>0.06766632602639877</v>
      </c>
      <c r="N241" s="166"/>
      <c r="P241" s="165"/>
      <c r="Q241" t="n" s="157">
        <v>45566.0</v>
      </c>
      <c r="R241" s="157"/>
      <c r="S241" t="n" s="160">
        <v>1.485679</v>
      </c>
      <c r="T241" t="n" s="160">
        <v>2.268533</v>
      </c>
      <c r="U241" s="166"/>
    </row>
    <row r="242">
      <c r="H242" s="165"/>
      <c r="I242" t="n" s="161">
        <v>45567.0</v>
      </c>
      <c r="J242" s="161"/>
      <c r="K242" t="n" s="163">
        <v>0.9322033898305083</v>
      </c>
      <c r="L242" t="n" s="163">
        <v>0.255566941843435</v>
      </c>
      <c r="M242" t="n" s="163">
        <v>0.10093789228315607</v>
      </c>
      <c r="N242" s="166"/>
      <c r="P242" s="165"/>
      <c r="Q242" t="n" s="161">
        <v>45567.0</v>
      </c>
      <c r="R242" s="161"/>
      <c r="S242" t="n" s="164">
        <v>1.47973</v>
      </c>
      <c r="T242" t="n" s="164">
        <v>2.314038</v>
      </c>
      <c r="U242" s="166"/>
    </row>
    <row r="243">
      <c r="H243" s="165"/>
      <c r="I243" t="n" s="157">
        <v>45568.0</v>
      </c>
      <c r="J243" s="157"/>
      <c r="K243" t="n" s="159">
        <v>0.8848870056497176</v>
      </c>
      <c r="L243" t="n" s="159">
        <v>0.2534558361078245</v>
      </c>
      <c r="M243" t="n" s="159">
        <v>0.082962822109101</v>
      </c>
      <c r="N243" s="166"/>
      <c r="P243" s="165"/>
      <c r="Q243" t="n" s="157">
        <v>45568.0</v>
      </c>
      <c r="R243" s="157"/>
      <c r="S243" t="n" s="160">
        <v>1.443494</v>
      </c>
      <c r="T243" t="n" s="160">
        <v>2.295186</v>
      </c>
      <c r="U243" s="166"/>
    </row>
    <row r="244">
      <c r="H244" s="165"/>
      <c r="I244" t="n" s="161">
        <v>45569.0</v>
      </c>
      <c r="J244" s="161"/>
      <c r="K244" t="n" s="163">
        <v>0.8898305084745763</v>
      </c>
      <c r="L244" t="n" s="163">
        <v>0.2646996732184246</v>
      </c>
      <c r="M244" t="n" s="163">
        <v>0.0837797995288694</v>
      </c>
      <c r="N244" s="166"/>
      <c r="P244" s="165"/>
      <c r="Q244" t="n" s="161">
        <v>45569.0</v>
      </c>
      <c r="R244" s="161"/>
      <c r="S244" t="n" s="164">
        <v>1.44728</v>
      </c>
      <c r="T244" t="n" s="164">
        <v>2.292327</v>
      </c>
      <c r="U244" s="166"/>
    </row>
    <row r="245">
      <c r="H245" s="165"/>
      <c r="I245" t="n" s="157">
        <v>45572.0</v>
      </c>
      <c r="J245" s="157"/>
      <c r="K245" t="n" s="159">
        <v>0.9046610169491526</v>
      </c>
      <c r="L245" t="n" s="159">
        <v>0.252576208717987</v>
      </c>
      <c r="M245" t="n" s="159">
        <v>0.07386262397466914</v>
      </c>
      <c r="N245" s="166"/>
      <c r="P245" s="165"/>
      <c r="Q245" t="n" s="157">
        <v>45572.0</v>
      </c>
      <c r="R245" s="157"/>
      <c r="S245" t="n" s="160">
        <v>1.458637</v>
      </c>
      <c r="T245" t="n" s="160">
        <v>2.269692</v>
      </c>
      <c r="U245" s="166"/>
    </row>
    <row r="246">
      <c r="H246" s="165"/>
      <c r="I246" t="n" s="161">
        <v>45573.0</v>
      </c>
      <c r="J246" s="161"/>
      <c r="K246" t="n" s="163">
        <v>0.901129943502825</v>
      </c>
      <c r="L246" t="n" s="163">
        <v>0.26471286762927226</v>
      </c>
      <c r="M246" t="n" s="163">
        <v>0.06790272579491452</v>
      </c>
      <c r="N246" s="166"/>
      <c r="P246" s="165"/>
      <c r="Q246" t="n" s="161">
        <v>45573.0</v>
      </c>
      <c r="R246" s="161"/>
      <c r="S246" t="n" s="164">
        <v>1.455933</v>
      </c>
      <c r="T246" t="n" s="164">
        <v>2.272034</v>
      </c>
      <c r="U246" s="166"/>
    </row>
    <row r="247">
      <c r="H247" s="165"/>
      <c r="I247" t="n" s="157">
        <v>45574.0</v>
      </c>
      <c r="J247" s="157"/>
      <c r="K247" t="n" s="159">
        <v>0.9314971751412431</v>
      </c>
      <c r="L247" t="n" s="159">
        <v>0.27370925675883684</v>
      </c>
      <c r="M247" t="n" s="159">
        <v>0.06069064125077217</v>
      </c>
      <c r="N247" s="166"/>
      <c r="P247" s="165"/>
      <c r="Q247" t="n" s="157">
        <v>45574.0</v>
      </c>
      <c r="R247" s="157"/>
      <c r="S247" t="n" s="160">
        <v>1.479189</v>
      </c>
      <c r="T247" t="n" s="160">
        <v>2.263018</v>
      </c>
      <c r="U247" s="166"/>
    </row>
    <row r="248">
      <c r="H248" s="165"/>
      <c r="I248" t="n" s="161">
        <v>45575.0</v>
      </c>
      <c r="J248" s="161"/>
      <c r="K248" t="n" s="163">
        <v>1.0218926553672314</v>
      </c>
      <c r="L248" t="n" s="163">
        <v>0.2710725736577986</v>
      </c>
      <c r="M248" t="n" s="163">
        <v>0.05512923806751924</v>
      </c>
      <c r="N248" s="166"/>
      <c r="P248" s="165"/>
      <c r="Q248" t="n" s="161">
        <v>45575.0</v>
      </c>
      <c r="R248" s="161"/>
      <c r="S248" t="n" s="164">
        <v>1.548416</v>
      </c>
      <c r="T248" t="n" s="164">
        <v>2.248356</v>
      </c>
      <c r="U248" s="166"/>
    </row>
    <row r="249">
      <c r="H249" s="165"/>
      <c r="I249" t="n" s="157">
        <v>45576.0</v>
      </c>
      <c r="J249" s="157"/>
      <c r="K249" t="n" s="159">
        <v>1.0960451977401129</v>
      </c>
      <c r="L249" t="n" s="159">
        <v>0.2787649151819289</v>
      </c>
      <c r="M249" t="n" s="159">
        <v>0.06945472279053311</v>
      </c>
      <c r="N249" s="166"/>
      <c r="P249" s="165"/>
      <c r="Q249" t="n" s="157">
        <v>45576.0</v>
      </c>
      <c r="R249" s="157"/>
      <c r="S249" t="n" s="160">
        <v>1.605204</v>
      </c>
      <c r="T249" t="n" s="160">
        <v>2.266377</v>
      </c>
      <c r="U249" s="166"/>
    </row>
    <row r="250">
      <c r="H250" s="165"/>
      <c r="I250" t="n" s="161">
        <v>45579.0</v>
      </c>
      <c r="J250" s="161"/>
      <c r="K250" t="n" s="163">
        <v>1.0543785310734464</v>
      </c>
      <c r="L250" t="n" s="163">
        <v>0.28862114008506</v>
      </c>
      <c r="M250" t="n" s="163">
        <v>0.08912707002151299</v>
      </c>
      <c r="N250" s="166"/>
      <c r="P250" s="165"/>
      <c r="Q250" t="n" s="161">
        <v>45579.0</v>
      </c>
      <c r="R250" s="161"/>
      <c r="S250" t="n" s="164">
        <v>1.573295</v>
      </c>
      <c r="T250" t="n" s="164">
        <v>2.29919</v>
      </c>
      <c r="U250" s="166"/>
    </row>
    <row r="251">
      <c r="H251" s="165"/>
      <c r="I251" t="n" s="157">
        <v>45580.0</v>
      </c>
      <c r="J251" s="157"/>
      <c r="K251" t="n" s="159">
        <v>1.027542372881356</v>
      </c>
      <c r="L251" t="n" s="159">
        <v>0.27881549375684456</v>
      </c>
      <c r="M251" t="n" s="159">
        <v>0.12951234903340025</v>
      </c>
      <c r="N251" s="166"/>
      <c r="P251" s="165"/>
      <c r="Q251" t="n" s="157">
        <v>45580.0</v>
      </c>
      <c r="R251" s="157"/>
      <c r="S251" t="n" s="160">
        <v>1.552743</v>
      </c>
      <c r="T251" t="n" s="160">
        <v>2.36788</v>
      </c>
      <c r="U251" s="166"/>
    </row>
    <row r="252">
      <c r="H252" s="165"/>
      <c r="I252" t="n" s="161">
        <v>45581.0</v>
      </c>
      <c r="J252" s="161"/>
      <c r="K252" t="n" s="163">
        <v>1.0247175141242937</v>
      </c>
      <c r="L252" t="n" s="163">
        <v>0.28479915907621534</v>
      </c>
      <c r="M252" t="n" s="163">
        <v>0.12351711532353192</v>
      </c>
      <c r="N252" s="166"/>
      <c r="P252" s="165"/>
      <c r="Q252" t="n" s="161">
        <v>45581.0</v>
      </c>
      <c r="R252" s="161"/>
      <c r="S252" t="n" s="164">
        <v>1.550579</v>
      </c>
      <c r="T252" t="n" s="164">
        <v>2.368653</v>
      </c>
      <c r="U252" s="166"/>
    </row>
    <row r="253">
      <c r="H253" s="165"/>
      <c r="I253" t="n" s="157">
        <v>45582.0</v>
      </c>
      <c r="J253" s="157"/>
      <c r="K253" t="n" s="159">
        <v>1.0430790960451977</v>
      </c>
      <c r="L253" t="n" s="159">
        <v>0.284579252228756</v>
      </c>
      <c r="M253" t="n" s="159">
        <v>0.13229936788806151</v>
      </c>
      <c r="N253" s="166"/>
      <c r="P253" s="165"/>
      <c r="Q253" t="n" s="157">
        <v>45582.0</v>
      </c>
      <c r="R253" s="157"/>
      <c r="S253" t="n" s="160">
        <v>1.564641</v>
      </c>
      <c r="T253" t="n" s="160">
        <v>2.393629</v>
      </c>
      <c r="U253" s="166"/>
    </row>
    <row r="254">
      <c r="H254" s="165"/>
      <c r="I254" t="n" s="161">
        <v>45583.0</v>
      </c>
      <c r="J254" s="161"/>
      <c r="K254" t="n" s="163">
        <v>1.031779661016949</v>
      </c>
      <c r="L254" t="n" s="163">
        <v>0.28968109108981444</v>
      </c>
      <c r="M254" t="n" s="163">
        <v>0.10600755178444299</v>
      </c>
      <c r="N254" s="166"/>
      <c r="P254" s="165"/>
      <c r="Q254" t="n" s="161">
        <v>45583.0</v>
      </c>
      <c r="R254" s="161"/>
      <c r="S254" t="n" s="164">
        <v>1.555988</v>
      </c>
      <c r="T254" t="n" s="164">
        <v>2.338109</v>
      </c>
      <c r="U254" s="166"/>
    </row>
    <row r="255">
      <c r="H255" s="165"/>
      <c r="I255" t="n" s="157">
        <v>45586.0</v>
      </c>
      <c r="J255" s="157"/>
      <c r="K255" t="n" s="159">
        <v>1.0169491525423728</v>
      </c>
      <c r="L255" t="n" s="159">
        <v>0.287330286890473</v>
      </c>
      <c r="M255" t="n" s="159">
        <v>0.09570607417370681</v>
      </c>
      <c r="N255" s="166"/>
      <c r="P255" s="165"/>
      <c r="Q255" t="n" s="157">
        <v>45586.0</v>
      </c>
      <c r="R255" s="157"/>
      <c r="S255" t="n" s="160">
        <v>1.54463</v>
      </c>
      <c r="T255" t="n" s="160">
        <v>2.325813</v>
      </c>
      <c r="U255" s="166"/>
    </row>
    <row r="256">
      <c r="H256" s="165"/>
      <c r="I256" t="n" s="161">
        <v>45587.0</v>
      </c>
      <c r="J256" s="161"/>
      <c r="K256" t="n" s="163">
        <v>1.0105932203389831</v>
      </c>
      <c r="L256" t="n" s="163">
        <v>0.28671894585453606</v>
      </c>
      <c r="M256" t="n" s="163">
        <v>0.10585602075028522</v>
      </c>
      <c r="N256" s="166"/>
      <c r="P256" s="165"/>
      <c r="Q256" t="n" s="161">
        <v>45587.0</v>
      </c>
      <c r="R256" s="161"/>
      <c r="S256" t="n" s="164">
        <v>1.539763</v>
      </c>
      <c r="T256" t="n" s="164">
        <v>2.34374</v>
      </c>
      <c r="U256" s="166"/>
    </row>
    <row r="257">
      <c r="H257" s="165"/>
      <c r="I257" t="n" s="157">
        <v>45588.0</v>
      </c>
      <c r="J257" s="157"/>
      <c r="K257" t="n" s="159">
        <v>1.0014124293785311</v>
      </c>
      <c r="L257" t="n" s="159">
        <v>0.2748923555981686</v>
      </c>
      <c r="M257" t="n" s="159">
        <v>0.09757270800874851</v>
      </c>
      <c r="N257" s="166"/>
      <c r="P257" s="165"/>
      <c r="Q257" t="n" s="157">
        <v>45588.0</v>
      </c>
      <c r="R257" s="157"/>
      <c r="S257" t="n" s="160">
        <v>1.532732</v>
      </c>
      <c r="T257" t="n" s="160">
        <v>2.346539</v>
      </c>
      <c r="U257" s="166"/>
    </row>
    <row r="258">
      <c r="H258" s="165"/>
      <c r="I258" t="n" s="161">
        <v>45589.0</v>
      </c>
      <c r="J258" s="161"/>
      <c r="K258" t="n" s="163">
        <v>0.9922316384180792</v>
      </c>
      <c r="L258" t="n" s="163">
        <v>0.2776279967805637</v>
      </c>
      <c r="M258" t="n" s="163">
        <v>0.08850634022607329</v>
      </c>
      <c r="N258" s="166"/>
      <c r="P258" s="165"/>
      <c r="Q258" t="n" s="161">
        <v>45589.0</v>
      </c>
      <c r="R258" s="161"/>
      <c r="S258" t="n" s="164">
        <v>1.525701</v>
      </c>
      <c r="T258" t="n" s="164">
        <v>2.323645</v>
      </c>
      <c r="U258" s="166"/>
    </row>
    <row r="259">
      <c r="H259" s="165"/>
      <c r="I259" t="n" s="157">
        <v>45590.0</v>
      </c>
      <c r="J259" s="157"/>
      <c r="K259" t="n" s="159">
        <v>1.0261299435028248</v>
      </c>
      <c r="L259" t="n" s="159">
        <v>0.2772453588659842</v>
      </c>
      <c r="M259" t="n" s="159">
        <v>0.08495331421990325</v>
      </c>
      <c r="N259" s="166"/>
      <c r="P259" s="165"/>
      <c r="Q259" t="n" s="157">
        <v>45590.0</v>
      </c>
      <c r="R259" s="157"/>
      <c r="S259" t="n" s="160">
        <v>1.551661</v>
      </c>
      <c r="T259" t="n" s="160">
        <v>2.309967</v>
      </c>
      <c r="U259" s="166"/>
    </row>
    <row r="260">
      <c r="H260" s="165"/>
      <c r="I260" t="n" s="161">
        <v>45593.0</v>
      </c>
      <c r="J260" s="161"/>
      <c r="K260" t="n" s="163">
        <v>1.0741525423728815</v>
      </c>
      <c r="L260" t="n" s="163">
        <v>0.28063192431685935</v>
      </c>
      <c r="M260" t="n" s="163">
        <v>0.09141690139869209</v>
      </c>
      <c r="N260" s="166"/>
      <c r="P260" s="165"/>
      <c r="Q260" t="n" s="161">
        <v>45593.0</v>
      </c>
      <c r="R260" s="161"/>
      <c r="S260" t="n" s="164">
        <v>1.588438</v>
      </c>
      <c r="T260" t="n" s="164">
        <v>2.320228</v>
      </c>
      <c r="U260" s="166"/>
    </row>
    <row r="261">
      <c r="H261" s="165"/>
      <c r="I261" t="n" s="157">
        <v>45594.0</v>
      </c>
      <c r="J261" s="157"/>
      <c r="K261" t="n" s="159">
        <v>1.0946327683615817</v>
      </c>
      <c r="L261" t="n" s="159">
        <v>0.2826990486829779</v>
      </c>
      <c r="M261" t="n" s="159">
        <v>0.07643910347506977</v>
      </c>
      <c r="N261" s="166"/>
      <c r="P261" s="165"/>
      <c r="Q261" t="n" s="157">
        <v>45594.0</v>
      </c>
      <c r="R261" s="157"/>
      <c r="S261" t="n" s="160">
        <v>1.604122</v>
      </c>
      <c r="T261" t="n" s="160">
        <v>2.293577</v>
      </c>
      <c r="U261" s="166"/>
    </row>
    <row r="262">
      <c r="H262" s="165"/>
      <c r="I262" t="n" s="161">
        <v>45595.0</v>
      </c>
      <c r="J262" s="161"/>
      <c r="K262" t="n" s="163">
        <v>1.152542372881356</v>
      </c>
      <c r="L262" t="n" s="163">
        <v>0.27846584186938417</v>
      </c>
      <c r="M262" t="n" s="163">
        <v>0.07201550484892039</v>
      </c>
      <c r="N262" s="166"/>
      <c r="P262" s="165"/>
      <c r="Q262" t="n" s="161">
        <v>45595.0</v>
      </c>
      <c r="R262" s="161"/>
      <c r="S262" t="n" s="164">
        <v>1.648471</v>
      </c>
      <c r="T262" t="n" s="164">
        <v>2.299767</v>
      </c>
      <c r="U262" s="166"/>
    </row>
    <row r="263">
      <c r="H263" s="165"/>
      <c r="I263" t="n" s="157">
        <v>45596.0</v>
      </c>
      <c r="J263" s="157"/>
      <c r="K263" t="n" s="159">
        <v>1.100988700564972</v>
      </c>
      <c r="L263" t="n" s="159">
        <v>0.2546675228373261</v>
      </c>
      <c r="M263" t="n" s="159">
        <v>0.05471651201602623</v>
      </c>
      <c r="N263" s="166"/>
      <c r="P263" s="165"/>
      <c r="Q263" t="n" s="157">
        <v>45596.0</v>
      </c>
      <c r="R263" s="157"/>
      <c r="S263" t="n" s="160">
        <v>1.588112</v>
      </c>
      <c r="T263" t="n" s="160">
        <v>2.262514</v>
      </c>
      <c r="U263" s="166"/>
    </row>
    <row r="264">
      <c r="H264" s="165"/>
      <c r="I264" t="n" s="161">
        <v>45597.0</v>
      </c>
      <c r="J264" s="161"/>
      <c r="K264" t="n" s="163">
        <v>1.1080508474576272</v>
      </c>
      <c r="L264" t="n" s="163">
        <v>0.2598023477255036</v>
      </c>
      <c r="M264" t="n" s="163">
        <v>0.06719712929404476</v>
      </c>
      <c r="N264" s="166"/>
      <c r="P264" s="165"/>
      <c r="Q264" t="n" s="161">
        <v>45597.0</v>
      </c>
      <c r="R264" s="161"/>
      <c r="S264" t="n" s="164">
        <v>1.593451</v>
      </c>
      <c r="T264" t="n" s="164">
        <v>2.292783</v>
      </c>
      <c r="U264" s="166"/>
    </row>
    <row r="265">
      <c r="H265" s="165"/>
      <c r="I265" t="n" s="157">
        <v>45600.0</v>
      </c>
      <c r="J265" s="157"/>
      <c r="K265" t="n" s="159">
        <v>1.088276836158192</v>
      </c>
      <c r="L265" t="n" s="159">
        <v>0.25625964841293225</v>
      </c>
      <c r="M265" t="n" s="159">
        <v>0.0688995355412998</v>
      </c>
      <c r="N265" s="166"/>
      <c r="P265" s="165"/>
      <c r="Q265" t="n" s="157">
        <v>45600.0</v>
      </c>
      <c r="R265" s="157"/>
      <c r="S265" t="n" s="160">
        <v>1.578504</v>
      </c>
      <c r="T265" t="n" s="160">
        <v>2.301261</v>
      </c>
      <c r="U265" s="166"/>
    </row>
    <row r="266">
      <c r="H266" s="165"/>
      <c r="I266" t="n" s="161">
        <v>45601.0</v>
      </c>
      <c r="J266" s="161"/>
      <c r="K266" t="n" s="163">
        <v>1.0967514124293785</v>
      </c>
      <c r="L266" t="n" s="163">
        <v>0.27166852121441365</v>
      </c>
      <c r="M266" t="n" s="163">
        <v>0.08159253451703542</v>
      </c>
      <c r="N266" s="166"/>
      <c r="P266" s="165"/>
      <c r="Q266" t="n" s="161">
        <v>45601.0</v>
      </c>
      <c r="R266" s="161"/>
      <c r="S266" t="n" s="164">
        <v>1.584909</v>
      </c>
      <c r="T266" t="n" s="164">
        <v>2.319882</v>
      </c>
      <c r="U266" s="166"/>
    </row>
    <row r="267">
      <c r="H267" s="165"/>
      <c r="I267" t="n" s="157">
        <v>45602.0</v>
      </c>
      <c r="J267" s="157"/>
      <c r="K267" t="n" s="159">
        <v>1.172316384180791</v>
      </c>
      <c r="L267" t="n" s="159">
        <v>0.303836494860777</v>
      </c>
      <c r="M267" t="n" s="159">
        <v>0.10772587399416844</v>
      </c>
      <c r="N267" s="166"/>
      <c r="P267" s="165"/>
      <c r="Q267" t="n" s="157">
        <v>45602.0</v>
      </c>
      <c r="R267" s="157"/>
      <c r="S267" t="n" s="160">
        <v>1.642028</v>
      </c>
      <c r="T267" t="n" s="160">
        <v>2.392995</v>
      </c>
      <c r="U267" s="166"/>
    </row>
    <row r="268">
      <c r="H268" s="165"/>
      <c r="I268" t="n" s="161">
        <v>45603.0</v>
      </c>
      <c r="J268" s="161"/>
      <c r="K268" t="n" s="163">
        <v>1.2295197740112993</v>
      </c>
      <c r="L268" t="n" s="163">
        <v>0.31352559055983886</v>
      </c>
      <c r="M268" t="n" s="163">
        <v>0.09056715541105698</v>
      </c>
      <c r="N268" s="166"/>
      <c r="P268" s="165"/>
      <c r="Q268" t="n" s="161">
        <v>45603.0</v>
      </c>
      <c r="R268" s="161"/>
      <c r="S268" t="n" s="164">
        <v>1.685267</v>
      </c>
      <c r="T268" t="n" s="164">
        <v>2.277883</v>
      </c>
      <c r="U268" s="166"/>
    </row>
    <row r="269">
      <c r="H269" s="165"/>
      <c r="I269" t="n" s="157">
        <v>45604.0</v>
      </c>
      <c r="J269" s="157"/>
      <c r="K269" t="n" s="159">
        <v>1.2252824858757063</v>
      </c>
      <c r="L269" t="n" s="159">
        <v>0.31846030021682803</v>
      </c>
      <c r="M269" t="n" s="159">
        <v>0.08349165501931012</v>
      </c>
      <c r="N269" s="166"/>
      <c r="P269" s="165"/>
      <c r="Q269" t="n" s="157">
        <v>45604.0</v>
      </c>
      <c r="R269" s="157"/>
      <c r="S269" t="n" s="160">
        <v>1.682065</v>
      </c>
      <c r="T269" t="n" s="160">
        <v>2.266884</v>
      </c>
      <c r="U269" s="166"/>
    </row>
    <row r="270">
      <c r="H270" s="165"/>
      <c r="I270" t="n" s="161">
        <v>45607.0</v>
      </c>
      <c r="J270" s="161"/>
      <c r="K270" t="n" s="163">
        <v>1.286723163841808</v>
      </c>
      <c r="L270" t="n" s="163">
        <v>0.31973795900056734</v>
      </c>
      <c r="M270" t="n" s="163">
        <v>0.09359203839232876</v>
      </c>
      <c r="N270" s="166"/>
      <c r="P270" s="165"/>
      <c r="Q270" t="n" s="161">
        <v>45607.0</v>
      </c>
      <c r="R270" s="161"/>
      <c r="S270" t="n" s="164">
        <v>1.728507</v>
      </c>
      <c r="T270" t="n" s="164">
        <v>2.289645</v>
      </c>
      <c r="U270" s="166"/>
    </row>
    <row r="271">
      <c r="H271" s="165"/>
      <c r="I271" t="n" s="157">
        <v>45608.0</v>
      </c>
      <c r="J271" s="157"/>
      <c r="K271" t="n" s="159">
        <v>1.3121468926553672</v>
      </c>
      <c r="L271" t="n" s="159">
        <v>0.31592037612867174</v>
      </c>
      <c r="M271" t="n" s="159">
        <v>0.058687641783792044</v>
      </c>
      <c r="N271" s="166"/>
      <c r="P271" s="165"/>
      <c r="Q271" t="n" s="157">
        <v>45608.0</v>
      </c>
      <c r="R271" s="157"/>
      <c r="S271" t="n" s="160">
        <v>1.747724</v>
      </c>
      <c r="T271" t="n" s="160">
        <v>2.20518</v>
      </c>
      <c r="U271" s="166"/>
    </row>
    <row r="272">
      <c r="H272" s="165"/>
      <c r="I272" t="n" s="161">
        <v>45609.0</v>
      </c>
      <c r="J272" s="161"/>
      <c r="K272" t="n" s="163">
        <v>1.2464689265536721</v>
      </c>
      <c r="L272" t="n" s="163">
        <v>0.31622604664664045</v>
      </c>
      <c r="M272" t="n" s="163">
        <v>0.05928463743799384</v>
      </c>
      <c r="N272" s="166"/>
      <c r="P272" s="165"/>
      <c r="Q272" t="n" s="161">
        <v>45609.0</v>
      </c>
      <c r="R272" s="161"/>
      <c r="S272" t="n" s="164">
        <v>1.698079</v>
      </c>
      <c r="T272" t="n" s="164">
        <v>2.195489</v>
      </c>
      <c r="U272" s="166"/>
    </row>
    <row r="273">
      <c r="H273" s="165"/>
      <c r="I273" t="n" s="157">
        <v>45610.0</v>
      </c>
      <c r="J273" s="157"/>
      <c r="K273" t="n" s="159">
        <v>1.2584745762711864</v>
      </c>
      <c r="L273" t="n" s="159">
        <v>0.3082632197001349</v>
      </c>
      <c r="M273" t="n" s="159">
        <v>0.05853682995795095</v>
      </c>
      <c r="N273" s="166"/>
      <c r="P273" s="165"/>
      <c r="Q273" t="n" s="157">
        <v>45610.0</v>
      </c>
      <c r="R273" s="157"/>
      <c r="S273" t="n" s="160">
        <v>1.707154</v>
      </c>
      <c r="T273" t="n" s="160">
        <v>2.213517</v>
      </c>
      <c r="U273" s="166"/>
    </row>
    <row r="274">
      <c r="H274" s="165"/>
      <c r="I274" t="n" s="161">
        <v>45611.0</v>
      </c>
      <c r="J274" s="161"/>
      <c r="K274" t="n" s="163">
        <v>1.2485875706214689</v>
      </c>
      <c r="L274" t="n" s="163">
        <v>0.29098953683219775</v>
      </c>
      <c r="M274" t="n" s="163">
        <v>0.041324890102135914</v>
      </c>
      <c r="N274" s="166"/>
      <c r="P274" s="165"/>
      <c r="Q274" t="n" s="161">
        <v>45611.0</v>
      </c>
      <c r="R274" s="161"/>
      <c r="S274" t="n" s="164">
        <v>1.699681</v>
      </c>
      <c r="T274" t="n" s="164">
        <v>2.173268</v>
      </c>
      <c r="U274" s="166"/>
    </row>
    <row r="275">
      <c r="H275" s="165"/>
      <c r="I275" t="n" s="157">
        <v>45614.0</v>
      </c>
      <c r="J275" s="157"/>
      <c r="K275" t="n" s="159">
        <v>1.259180790960452</v>
      </c>
      <c r="L275" t="n" s="159">
        <v>0.2960473943237645</v>
      </c>
      <c r="M275" t="n" s="159">
        <v>0.043174104825277615</v>
      </c>
      <c r="N275" s="166"/>
      <c r="P275" s="167"/>
      <c r="Q275" s="168"/>
      <c r="R275" s="168"/>
      <c r="S275" s="168"/>
      <c r="T275" s="168"/>
      <c r="U275" s="169"/>
    </row>
    <row r="276">
      <c r="H276" s="167"/>
      <c r="I276" s="168"/>
      <c r="J276" s="168"/>
      <c r="K276" s="168"/>
      <c r="L276" s="168"/>
      <c r="M276" s="168"/>
      <c r="N276" s="169"/>
    </row>
  </sheetData>
  <mergeCells count="4">
    <mergeCell ref="P6:U6"/>
    <mergeCell ref="C21:D21"/>
    <mergeCell ref="H6:N6"/>
    <mergeCell ref="D3:J4"/>
  </mergeCells>
  <pageMargins left="0.7" right="0.7" top="0.75" bottom="0.75" header="0.3" footer="0.3"/>
  <pageSetup orientation="portrait" horizontalDpi="200" verticalDpi="2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21"/>
  <sheetViews>
    <sheetView workbookViewId="0" showGridLines="false" tabSelected="false">
      <selection activeCell="A100" sqref="A100"/>
    </sheetView>
  </sheetViews>
  <sheetFormatPr defaultRowHeight="15.0"/>
  <cols>
    <col min="1" max="1" width="9.83203125" customWidth="true"/>
    <col min="2" max="2" width="45.6640625" customWidth="true"/>
    <col min="3" max="3" width="27.83203125" customWidth="true"/>
    <col min="4" max="4" width="2.6640625" customWidth="true"/>
    <col min="5" max="5" width="22.33203125" customWidth="true"/>
    <col min="6" max="6" width="9.1640625" customWidth="true"/>
    <col min="7" max="7" width="9.1640625" customWidth="true"/>
    <col min="8" max="8" width="9.1640625" customWidth="true"/>
    <col min="9" max="9" width="9.1640625" customWidth="true"/>
    <col min="10" max="10" width="9.1640625" customWidth="true"/>
    <col min="11" max="11" width="9.1640625" customWidth="true"/>
    <col min="12" max="12" width="9.1640625" customWidth="true"/>
    <col min="13" max="13" width="9.1640625" customWidth="true"/>
    <col min="14" max="14" width="9.1640625" customWidth="true"/>
    <col min="15" max="15" width="9.1640625" customWidth="true"/>
    <col min="16" max="16" width="9.1640625" customWidth="true"/>
    <col min="17" max="17" width="9.1640625" customWidth="true"/>
    <col min="18" max="18" width="9.1640625" customWidth="true"/>
    <col min="19" max="19" width="9.1640625" customWidth="true"/>
    <col min="20" max="20" width="9.1640625" customWidth="true"/>
    <col min="21" max="21" width="9.1640625" customWidth="true"/>
    <col min="22" max="22" width="9.1640625" customWidth="true"/>
  </cols>
  <sheetData>
    <row r="1">
      <c r="A1" t="s" s="170">
        <v>48</v>
      </c>
    </row>
    <row r="3">
      <c r="A3" t="s" s="171">
        <v>49</v>
      </c>
    </row>
    <row r="4">
      <c r="A4" t="s" s="186">
        <v>50</v>
      </c>
    </row>
    <row r="6">
      <c r="A6" t="s" s="173">
        <v>51</v>
      </c>
      <c r="C6" t="s" s="185">
        <v>52</v>
      </c>
      <c r="E6" t="s" s="175">
        <v>53</v>
      </c>
    </row>
    <row r="8">
      <c r="A8" t="s" s="176">
        <v>54</v>
      </c>
    </row>
    <row r="9">
      <c r="A9" t="s" s="177">
        <v>55</v>
      </c>
      <c r="B9" t="s" s="178">
        <v>56</v>
      </c>
    </row>
    <row r="10">
      <c r="A10" t="s" s="179">
        <v>57</v>
      </c>
      <c r="B10" t="s" s="180">
        <v>58</v>
      </c>
    </row>
    <row r="11">
      <c r="A11" t="s" s="181">
        <v>59</v>
      </c>
      <c r="B11" t="s" s="182">
        <v>60</v>
      </c>
    </row>
    <row r="13">
      <c r="A13" t="s" s="183">
        <v>61</v>
      </c>
      <c r="B13" t="s" s="187">
        <v>50</v>
      </c>
    </row>
    <row r="15">
      <c r="A15" t="s" s="188">
        <v>47</v>
      </c>
    </row>
    <row r="21">
      <c r="A21"/>
    </row>
  </sheetData>
  <sheetProtection password="C9C1" sheet="true" scenarios="true" objects="true"/>
  <mergeCells count="2">
    <mergeCell ref="D8:E8"/>
    <mergeCell ref="C6:D6"/>
  </mergeCells>
  <hyperlinks>
    <hyperlink display="the PitchBook subscription agreement." ref="C6" r:id="rId1"/>
    <hyperlink display="support@pitchbook.com" ref="A4" r:id="rId2"/>
    <hyperlink display="support@pitchbook.com" ref="B13" r:id="rId3"/>
  </hyperlinks>
  <pageMargins bottom="0.75" footer="0.3" header="0.3" left="0.7" right="0.7" top="0.75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D81E7D4719684497EAC6030B5A7417" ma:contentTypeVersion="5" ma:contentTypeDescription="Create a new document." ma:contentTypeScope="" ma:versionID="9589d6cf1ece95ebe713895d0afea9f8">
  <xsd:schema xmlns:xsd="http://www.w3.org/2001/XMLSchema" xmlns:xs="http://www.w3.org/2001/XMLSchema" xmlns:p="http://schemas.microsoft.com/office/2006/metadata/properties" xmlns:ns3="f7e9d0fe-8097-4221-aa1c-2fa3f68e17fd" xmlns:ns4="dbda2431-e781-4f79-b9ff-06ff2b51297d" targetNamespace="http://schemas.microsoft.com/office/2006/metadata/properties" ma:root="true" ma:fieldsID="1dafbb930666c9e8dd8ba6a8a66e9fe2" ns3:_="" ns4:_="">
    <xsd:import namespace="f7e9d0fe-8097-4221-aa1c-2fa3f68e17fd"/>
    <xsd:import namespace="dbda2431-e781-4f79-b9ff-06ff2b51297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9d0fe-8097-4221-aa1c-2fa3f68e17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a2431-e781-4f79-b9ff-06ff2b51297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CB62DC-8C50-4272-8EDD-C99147F1D5DB}">
  <ds:schemaRefs>
    <ds:schemaRef ds:uri="f7e9d0fe-8097-4221-aa1c-2fa3f68e17fd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bda2431-e781-4f79-b9ff-06ff2b51297d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1057F5B-8BE4-4226-9C16-272D6D95CC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273CE0-9315-4CEC-ACA6-89067EE54C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9d0fe-8097-4221-aa1c-2fa3f68e17fd"/>
    <ds:schemaRef ds:uri="dbda2431-e781-4f79-b9ff-06ff2b5129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</vt:i4>
      </vt:variant>
    </vt:vector>
  </HeadingPairs>
  <TitlesOfParts>
    <vt:vector size="15" baseType="lpstr">
      <vt:lpstr>Data</vt:lpstr>
      <vt:lpstr>Charts</vt:lpstr>
      <vt:lpstr>CompanyFinancialTickers</vt:lpstr>
      <vt:lpstr>CompanyFinancialValues</vt:lpstr>
      <vt:lpstr>CompanyStockPriceChange</vt:lpstr>
      <vt:lpstr>Charts!CompanyTradingMultiples</vt:lpstr>
      <vt:lpstr>CompanyTradingMultiples</vt:lpstr>
      <vt:lpstr>CompsSetStockPriceChange</vt:lpstr>
      <vt:lpstr>Charts!CompsSetTradingMultiples</vt:lpstr>
      <vt:lpstr>CompsSetTradingMultiples</vt:lpstr>
      <vt:lpstr>Data!CreatedFor</vt:lpstr>
      <vt:lpstr>Data!CreatedForTitle</vt:lpstr>
      <vt:lpstr>DateStockPriceChange</vt:lpstr>
      <vt:lpstr>Charts!DateTradingMultiples</vt:lpstr>
      <vt:lpstr>IndexStockPriceChange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2010-12-15T16:54:07Z</dcterms:created>
  <dc:creator>PitchBook</dc:creator>
  <cp:lastModifiedBy>PitchBook</cp:lastModifiedBy>
  <dcterms:modified xsi:type="dcterms:W3CDTF">2021-02-08T13:31:49Z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0x0101007AD81E7D4719684497EAC6030B5A7417</vt:lpwstr>
  </property>
</Properties>
</file>