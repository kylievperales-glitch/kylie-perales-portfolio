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 Build" sheetId="1" r:id="rId4"/>
  </sheets>
  <definedNames/>
  <calcPr/>
  <extLst>
    <ext uri="GoogleSheetsCustomDataVersion2">
      <go:sheetsCustomData xmlns:go="http://customooxmlschemas.google.com/" r:id="rId5" roundtripDataChecksum="XLsO0qX4YkmU+hpvgbpokXVP+nvMJmHcaA1sjldmiyE="/>
    </ext>
  </extLst>
</workbook>
</file>

<file path=xl/sharedStrings.xml><?xml version="1.0" encoding="utf-8"?>
<sst xmlns="http://schemas.openxmlformats.org/spreadsheetml/2006/main" count="68" uniqueCount="60">
  <si>
    <r>
      <rPr>
        <rFont val="Calibri"/>
        <b/>
        <color rgb="FF000000"/>
        <sz val="13.0"/>
        <u/>
      </rPr>
      <t xml:space="preserve">Wendy's 10K Information: </t>
    </r>
    <r>
      <rPr>
        <rFont val="Calibri"/>
        <b val="0"/>
        <color rgb="FF1155CC"/>
        <sz val="13.0"/>
        <u/>
      </rPr>
      <t>https://www.sec.gov/edgar/browse/?CIK=30697&amp;owner=exclude</t>
    </r>
  </si>
  <si>
    <t>Date: 11/6</t>
  </si>
  <si>
    <t>Name: Kylie Perales</t>
  </si>
  <si>
    <t>Fiscal year end Dec 31,</t>
  </si>
  <si>
    <t>Annual Historicals</t>
  </si>
  <si>
    <t>Annual Forecasts</t>
  </si>
  <si>
    <t>*In Millions* (except for store build)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</si>
  <si>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</si>
  <si>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</si>
  <si>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</si>
  <si>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</si>
  <si>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</si>
  <si>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</si>
  <si>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</si>
  <si>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</si>
  <si>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2024E</t>
  </si>
  <si>
    <t>2025E</t>
  </si>
  <si>
    <t>2026E</t>
  </si>
  <si>
    <t>2027E</t>
  </si>
  <si>
    <t>2028E</t>
  </si>
  <si>
    <t>Store Build</t>
  </si>
  <si>
    <t>Company, franchised, and international</t>
  </si>
  <si>
    <t>Beginning Restaurants</t>
  </si>
  <si>
    <t xml:space="preserve">1. = Previous period ending restaurants </t>
  </si>
  <si>
    <t>Restaurants Opened</t>
  </si>
  <si>
    <r>
      <rPr>
        <rFont val="Calibri"/>
        <color theme="1"/>
        <sz val="13.0"/>
      </rPr>
      <t xml:space="preserve">2. based on their strategy, how many stores do you think they will </t>
    </r>
    <r>
      <rPr>
        <rFont val="Calibri"/>
        <b/>
        <color theme="1"/>
        <sz val="13.0"/>
      </rPr>
      <t>open</t>
    </r>
    <r>
      <rPr>
        <rFont val="Calibri"/>
        <color theme="1"/>
        <sz val="13.0"/>
      </rPr>
      <t>?</t>
    </r>
  </si>
  <si>
    <t>Restaurants Closed</t>
  </si>
  <si>
    <r>
      <rPr>
        <rFont val="Calibri"/>
        <color theme="1"/>
        <sz val="13.0"/>
      </rPr>
      <t xml:space="preserve">3. based on their strategy, how many stores do you think they will </t>
    </r>
    <r>
      <rPr>
        <rFont val="Calibri"/>
        <b/>
        <color theme="1"/>
        <sz val="13.0"/>
      </rPr>
      <t>close</t>
    </r>
    <r>
      <rPr>
        <rFont val="Calibri"/>
        <color theme="1"/>
        <sz val="13.0"/>
      </rPr>
      <t>?</t>
    </r>
  </si>
  <si>
    <t>Ending Restaurants</t>
  </si>
  <si>
    <t>Average Revenue Per Store (raw number)</t>
  </si>
  <si>
    <t>5. = Previous period avg revenue * (1 + growth rate)</t>
  </si>
  <si>
    <t>Average Revenue Growth Rate</t>
  </si>
  <si>
    <t>--</t>
  </si>
  <si>
    <t>4. hardcoded, but try to understand the company's trajectory and how they plan on growing for the next 5 years and don't just blanket forecast ie. use one rate for all 5 years</t>
  </si>
  <si>
    <t>Income Statement</t>
  </si>
  <si>
    <t>Total Revenues</t>
  </si>
  <si>
    <t xml:space="preserve">6. = avg revenue per store * ending restaurants -- </t>
  </si>
  <si>
    <t>Sales at Company-operated restaurants</t>
  </si>
  <si>
    <t>8 = revenue * % of total revenues in 7</t>
  </si>
  <si>
    <t>% of Total Revenues</t>
  </si>
  <si>
    <t>7. understand how each segment of their revenues will move in the next 5 years based on company strategy -- ie. do they plan on growing company operated restaurants or franchises?</t>
  </si>
  <si>
    <t>Franchise royalty revenue</t>
  </si>
  <si>
    <t>9. revenue * % of total revenues in 10</t>
  </si>
  <si>
    <t>10. see 7</t>
  </si>
  <si>
    <t>Franchise fees</t>
  </si>
  <si>
    <t>12. revenue * % of total revenues in 11</t>
  </si>
  <si>
    <t>11. see 7</t>
  </si>
  <si>
    <t>Franchise rental income</t>
  </si>
  <si>
    <t>14. revenue * % of total revenues in 13</t>
  </si>
  <si>
    <t>13. see 7</t>
  </si>
  <si>
    <t>Advertising funds revenue</t>
  </si>
  <si>
    <t>16. revenue * % of total revenues in 15</t>
  </si>
  <si>
    <t>15. see 7</t>
  </si>
  <si>
    <t>%Change in store openings</t>
  </si>
  <si>
    <t>***All your "% of revenues" should add up to 100% and the sum of all the revenue segments should equal total revenues</t>
  </si>
  <si>
    <t>Average % Change in store openings</t>
  </si>
  <si>
    <t>Average % Change in store openings past 3 years</t>
  </si>
  <si>
    <t>%Change in store closings</t>
  </si>
  <si>
    <t>Average % Change in store closings</t>
  </si>
  <si>
    <t>Average % Change in store closing past 3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</si>
</sst>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[$-409]mmm\-yy"/>
    <numFmt numFmtId="166" formatCode="#,##0;(#,##0)"/>
    <numFmt numFmtId="167" formatCode="#,##0.00;(#,##0.00)"/>
    <numFmt numFmtId="168" formatCode="\-\-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u/>
      <sz val="13.0"/>
      <color theme="1"/>
      <name val="Calibri"/>
    </font>
    <font>
      <sz val="13.0"/>
      <color theme="1"/>
      <name val="Calibri"/>
    </font>
    <font>
      <b/>
      <sz val="11.0"/>
      <color theme="1"/>
      <name val="Calibri"/>
    </font>
    <font/>
    <font>
      <sz val="11.0"/>
      <color rgb="FF0000FF"/>
      <name val="Calibri"/>
    </font>
    <font>
      <sz val="14.0"/>
      <color rgb="FF222222"/>
      <name val="Roboto"/>
    </font>
    <font>
      <i/>
      <sz val="11.0"/>
      <color theme="1"/>
      <name val="Calibri"/>
    </font>
    <font>
      <b/>
      <i/>
      <sz val="11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9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</border>
    <border>
      <left style="medium">
        <color rgb="FFFFFFFF"/>
      </lef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000000"/>
      </right>
      <top style="medium">
        <color rgb="FF000000"/>
      </top>
      <bottom style="medium">
        <color rgb="FFFFFFFF"/>
      </bottom>
    </border>
    <border>
      <right/>
      <top/>
      <bottom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000000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FFFFFF"/>
      </bottom>
    </border>
    <border>
      <right style="medium">
        <color rgb="FFFFFFFF"/>
      </right>
      <top style="medium">
        <color rgb="FF000000"/>
      </top>
      <bottom style="medium">
        <color rgb="FFFFFFFF"/>
      </bottom>
    </border>
    <border>
      <right style="medium">
        <color rgb="FF000000"/>
      </right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  <bottom style="medium">
        <color rgb="FF000000"/>
      </bottom>
    </border>
    <border>
      <left style="medium">
        <color rgb="FF000000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000000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medium">
        <color rgb="FF000000"/>
      </right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right/>
      <top/>
    </border>
    <border>
      <right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FFFFFF"/>
      </right>
      <top style="medium">
        <color rgb="FF000000"/>
      </top>
      <bottom style="medium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1" fillId="2" fontId="3" numFmtId="0" xfId="0" applyAlignment="1" applyBorder="1" applyFont="1">
      <alignment readingOrder="0"/>
    </xf>
    <xf borderId="1" fillId="2" fontId="3" numFmtId="164" xfId="0" applyBorder="1" applyFont="1" applyNumberFormat="1"/>
    <xf borderId="1" fillId="2" fontId="1" numFmtId="10" xfId="0" applyBorder="1" applyFont="1" applyNumberForma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0" fontId="4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8" fillId="0" fontId="4" numFmtId="0" xfId="0" applyAlignment="1" applyBorder="1" applyFont="1">
      <alignment horizontal="center" vertical="bottom"/>
    </xf>
    <xf borderId="10" fillId="2" fontId="1" numFmtId="0" xfId="0" applyBorder="1" applyFont="1"/>
    <xf borderId="11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2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horizontal="center"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6" fillId="0" fontId="6" numFmtId="165" xfId="0" applyAlignment="1" applyBorder="1" applyFont="1" applyNumberFormat="1">
      <alignment horizontal="center" vertical="bottom"/>
    </xf>
    <xf borderId="16" fillId="0" fontId="1" numFmtId="165" xfId="0" applyAlignment="1" applyBorder="1" applyFont="1" applyNumberFormat="1">
      <alignment horizontal="center" vertical="bottom"/>
    </xf>
    <xf borderId="17" fillId="0" fontId="1" numFmtId="165" xfId="0" applyAlignment="1" applyBorder="1" applyFont="1" applyNumberFormat="1">
      <alignment horizontal="center" vertical="bottom"/>
    </xf>
    <xf borderId="18" fillId="0" fontId="1" numFmtId="165" xfId="0" applyAlignment="1" applyBorder="1" applyFont="1" applyNumberFormat="1">
      <alignment horizontal="center" vertical="bottom"/>
    </xf>
    <xf borderId="19" fillId="0" fontId="1" numFmtId="0" xfId="0" applyAlignment="1" applyBorder="1" applyFont="1">
      <alignment vertical="bottom"/>
    </xf>
    <xf borderId="20" fillId="0" fontId="1" numFmtId="165" xfId="0" applyAlignment="1" applyBorder="1" applyFont="1" applyNumberFormat="1">
      <alignment vertical="bottom"/>
    </xf>
    <xf borderId="6" fillId="0" fontId="1" numFmtId="165" xfId="0" applyAlignment="1" applyBorder="1" applyFont="1" applyNumberFormat="1">
      <alignment vertical="bottom"/>
    </xf>
    <xf borderId="19" fillId="0" fontId="1" numFmtId="165" xfId="0" applyAlignment="1" applyBorder="1" applyFont="1" applyNumberFormat="1">
      <alignment vertical="bottom"/>
    </xf>
    <xf borderId="21" fillId="0" fontId="1" numFmtId="0" xfId="0" applyBorder="1" applyFont="1"/>
    <xf borderId="22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24" fillId="0" fontId="1" numFmtId="0" xfId="0" applyAlignment="1" applyBorder="1" applyFont="1">
      <alignment vertical="bottom"/>
    </xf>
    <xf borderId="25" fillId="0" fontId="1" numFmtId="0" xfId="0" applyAlignment="1" applyBorder="1" applyFont="1">
      <alignment vertical="bottom"/>
    </xf>
    <xf borderId="1" fillId="2" fontId="4" numFmtId="0" xfId="0" applyBorder="1" applyFont="1"/>
    <xf borderId="4" fillId="2" fontId="4" numFmtId="0" xfId="0" applyBorder="1" applyFont="1"/>
    <xf borderId="26" fillId="0" fontId="4" numFmtId="0" xfId="0" applyAlignment="1" applyBorder="1" applyFont="1">
      <alignment vertical="bottom"/>
    </xf>
    <xf borderId="27" fillId="0" fontId="1" numFmtId="0" xfId="0" applyAlignment="1" applyBorder="1" applyFont="1">
      <alignment vertical="bottom"/>
    </xf>
    <xf borderId="27" fillId="0" fontId="4" numFmtId="0" xfId="0" applyAlignment="1" applyBorder="1" applyFont="1">
      <alignment horizontal="right" vertical="bottom"/>
    </xf>
    <xf borderId="27" fillId="0" fontId="4" numFmtId="3" xfId="0" applyAlignment="1" applyBorder="1" applyFont="1" applyNumberFormat="1">
      <alignment horizontal="right" vertical="bottom"/>
    </xf>
    <xf borderId="28" fillId="0" fontId="4" numFmtId="3" xfId="0" applyAlignment="1" applyBorder="1" applyFont="1" applyNumberFormat="1">
      <alignment horizontal="right" vertical="bottom"/>
    </xf>
    <xf borderId="29" fillId="0" fontId="4" numFmtId="1" xfId="0" applyAlignment="1" applyBorder="1" applyFont="1" applyNumberFormat="1">
      <alignment horizontal="right" vertical="bottom"/>
    </xf>
    <xf borderId="30" fillId="0" fontId="4" numFmtId="1" xfId="0" applyAlignment="1" applyBorder="1" applyFont="1" applyNumberFormat="1">
      <alignment horizontal="right" vertical="bottom"/>
    </xf>
    <xf borderId="10" fillId="2" fontId="3" numFmtId="0" xfId="0" applyBorder="1" applyFont="1"/>
    <xf borderId="0" fillId="0" fontId="4" numFmtId="0" xfId="0" applyFont="1"/>
    <xf borderId="11" fillId="0" fontId="4" numFmtId="0" xfId="0" applyAlignment="1" applyBorder="1" applyFont="1">
      <alignment vertical="bottom"/>
    </xf>
    <xf borderId="12" fillId="0" fontId="4" numFmtId="0" xfId="0" applyAlignment="1" applyBorder="1" applyFont="1">
      <alignment horizontal="right" vertical="bottom"/>
    </xf>
    <xf borderId="13" fillId="0" fontId="4" numFmtId="0" xfId="0" applyAlignment="1" applyBorder="1" applyFont="1">
      <alignment horizontal="right" vertical="bottom"/>
    </xf>
    <xf borderId="14" fillId="0" fontId="4" numFmtId="1" xfId="0" applyAlignment="1" applyBorder="1" applyFont="1" applyNumberFormat="1">
      <alignment horizontal="right" vertical="bottom"/>
    </xf>
    <xf borderId="12" fillId="0" fontId="4" numFmtId="1" xfId="0" applyAlignment="1" applyBorder="1" applyFont="1" applyNumberFormat="1">
      <alignment horizontal="right" vertical="bottom"/>
    </xf>
    <xf borderId="13" fillId="0" fontId="4" numFmtId="1" xfId="0" applyAlignment="1" applyBorder="1" applyFont="1" applyNumberFormat="1">
      <alignment horizontal="right" vertical="bottom"/>
    </xf>
    <xf borderId="0" fillId="0" fontId="7" numFmtId="0" xfId="0" applyFont="1"/>
    <xf borderId="12" fillId="0" fontId="4" numFmtId="166" xfId="0" applyAlignment="1" applyBorder="1" applyFont="1" applyNumberFormat="1">
      <alignment horizontal="right" vertical="bottom"/>
    </xf>
    <xf borderId="13" fillId="0" fontId="4" numFmtId="166" xfId="0" applyAlignment="1" applyBorder="1" applyFont="1" applyNumberFormat="1">
      <alignment horizontal="right" vertical="bottom"/>
    </xf>
    <xf borderId="14" fillId="0" fontId="4" numFmtId="167" xfId="0" applyAlignment="1" applyBorder="1" applyFont="1" applyNumberFormat="1">
      <alignment horizontal="right" vertical="bottom"/>
    </xf>
    <xf borderId="12" fillId="0" fontId="4" numFmtId="167" xfId="0" applyAlignment="1" applyBorder="1" applyFont="1" applyNumberFormat="1">
      <alignment horizontal="right" vertical="bottom"/>
    </xf>
    <xf borderId="13" fillId="0" fontId="4" numFmtId="167" xfId="0" applyAlignment="1" applyBorder="1" applyFont="1" applyNumberFormat="1">
      <alignment horizontal="right" vertical="bottom"/>
    </xf>
    <xf borderId="31" fillId="0" fontId="4" numFmtId="1" xfId="0" applyAlignment="1" applyBorder="1" applyFont="1" applyNumberFormat="1">
      <alignment horizontal="right" vertical="bottom"/>
    </xf>
    <xf borderId="12" fillId="0" fontId="4" numFmtId="168" xfId="0" applyAlignment="1" applyBorder="1" applyFont="1" applyNumberFormat="1">
      <alignment horizontal="right" vertical="bottom"/>
    </xf>
    <xf borderId="12" fillId="0" fontId="4" numFmtId="3" xfId="0" applyAlignment="1" applyBorder="1" applyFont="1" applyNumberFormat="1">
      <alignment horizontal="right" vertical="bottom"/>
    </xf>
    <xf borderId="13" fillId="0" fontId="4" numFmtId="3" xfId="0" applyAlignment="1" applyBorder="1" applyFont="1" applyNumberFormat="1">
      <alignment horizontal="right" vertical="bottom"/>
    </xf>
    <xf borderId="14" fillId="0" fontId="4" numFmtId="3" xfId="0" applyAlignment="1" applyBorder="1" applyFont="1" applyNumberFormat="1">
      <alignment horizontal="right" vertical="bottom"/>
    </xf>
    <xf borderId="31" fillId="0" fontId="4" numFmtId="3" xfId="0" applyAlignment="1" applyBorder="1" applyFont="1" applyNumberFormat="1">
      <alignment horizontal="right" vertical="bottom"/>
    </xf>
    <xf borderId="11" fillId="0" fontId="8" numFmtId="0" xfId="0" applyAlignment="1" applyBorder="1" applyFont="1">
      <alignment vertical="bottom"/>
    </xf>
    <xf borderId="12" fillId="0" fontId="8" numFmtId="1" xfId="0" applyAlignment="1" applyBorder="1" applyFont="1" applyNumberFormat="1">
      <alignment horizontal="right" vertical="bottom"/>
    </xf>
    <xf borderId="12" fillId="0" fontId="8" numFmtId="9" xfId="0" applyAlignment="1" applyBorder="1" applyFont="1" applyNumberFormat="1">
      <alignment horizontal="right" vertical="bottom"/>
    </xf>
    <xf borderId="13" fillId="0" fontId="8" numFmtId="9" xfId="0" applyAlignment="1" applyBorder="1" applyFont="1" applyNumberFormat="1">
      <alignment horizontal="right" vertical="bottom"/>
    </xf>
    <xf borderId="14" fillId="0" fontId="8" numFmtId="9" xfId="0" applyAlignment="1" applyBorder="1" applyFont="1" applyNumberFormat="1">
      <alignment horizontal="right" vertical="bottom"/>
    </xf>
    <xf borderId="32" fillId="2" fontId="3" numFmtId="0" xfId="0" applyAlignment="1" applyBorder="1" applyFont="1">
      <alignment shrinkToFit="0" wrapText="1"/>
    </xf>
    <xf borderId="16" fillId="0" fontId="1" numFmtId="168" xfId="0" applyAlignment="1" applyBorder="1" applyFont="1" applyNumberFormat="1">
      <alignment vertical="bottom"/>
    </xf>
    <xf borderId="16" fillId="0" fontId="1" numFmtId="9" xfId="0" applyAlignment="1" applyBorder="1" applyFont="1" applyNumberFormat="1">
      <alignment vertical="bottom"/>
    </xf>
    <xf borderId="17" fillId="0" fontId="1" numFmtId="9" xfId="0" applyAlignment="1" applyBorder="1" applyFont="1" applyNumberFormat="1">
      <alignment vertical="bottom"/>
    </xf>
    <xf borderId="18" fillId="0" fontId="1" numFmtId="9" xfId="0" applyAlignment="1" applyBorder="1" applyFont="1" applyNumberFormat="1">
      <alignment vertical="bottom"/>
    </xf>
    <xf borderId="33" fillId="0" fontId="5" numFmtId="0" xfId="0" applyBorder="1" applyFont="1"/>
    <xf borderId="34" fillId="0" fontId="4" numFmtId="0" xfId="0" applyAlignment="1" applyBorder="1" applyFont="1">
      <alignment vertical="bottom"/>
    </xf>
    <xf borderId="35" fillId="0" fontId="1" numFmtId="0" xfId="0" applyAlignment="1" applyBorder="1" applyFont="1">
      <alignment vertical="bottom"/>
    </xf>
    <xf borderId="35" fillId="0" fontId="1" numFmtId="168" xfId="0" applyAlignment="1" applyBorder="1" applyFont="1" applyNumberFormat="1">
      <alignment vertical="bottom"/>
    </xf>
    <xf borderId="35" fillId="0" fontId="1" numFmtId="1" xfId="0" applyAlignment="1" applyBorder="1" applyFont="1" applyNumberFormat="1">
      <alignment vertical="bottom"/>
    </xf>
    <xf borderId="36" fillId="0" fontId="1" numFmtId="1" xfId="0" applyAlignment="1" applyBorder="1" applyFont="1" applyNumberFormat="1">
      <alignment vertical="bottom"/>
    </xf>
    <xf borderId="37" fillId="0" fontId="1" numFmtId="1" xfId="0" applyAlignment="1" applyBorder="1" applyFont="1" applyNumberFormat="1">
      <alignment vertical="bottom"/>
    </xf>
    <xf borderId="1" fillId="2" fontId="9" numFmtId="0" xfId="0" applyBorder="1" applyFont="1"/>
    <xf borderId="4" fillId="2" fontId="9" numFmtId="0" xfId="0" applyBorder="1" applyFont="1"/>
    <xf borderId="29" fillId="0" fontId="4" numFmtId="3" xfId="0" applyAlignment="1" applyBorder="1" applyFont="1" applyNumberFormat="1">
      <alignment horizontal="right" vertical="bottom"/>
    </xf>
    <xf borderId="10" fillId="2" fontId="10" numFmtId="0" xfId="0" applyBorder="1" applyFont="1"/>
    <xf borderId="1" fillId="2" fontId="8" numFmtId="0" xfId="0" applyBorder="1" applyFont="1"/>
    <xf borderId="0" fillId="0" fontId="8" numFmtId="0" xfId="0" applyFont="1"/>
    <xf borderId="12" fillId="0" fontId="1" numFmtId="1" xfId="0" applyAlignment="1" applyBorder="1" applyFont="1" applyNumberFormat="1">
      <alignment horizontal="right" vertical="bottom"/>
    </xf>
    <xf borderId="13" fillId="0" fontId="1" numFmtId="1" xfId="0" applyAlignment="1" applyBorder="1" applyFont="1" applyNumberFormat="1">
      <alignment horizontal="right" vertical="bottom"/>
    </xf>
    <xf borderId="14" fillId="0" fontId="1" numFmtId="1" xfId="0" applyAlignment="1" applyBorder="1" applyFont="1" applyNumberFormat="1">
      <alignment horizontal="right" vertical="bottom"/>
    </xf>
    <xf borderId="14" fillId="0" fontId="8" numFmtId="9" xfId="0" applyAlignment="1" applyBorder="1" applyFont="1" applyNumberFormat="1">
      <alignment horizontal="right" readingOrder="0" vertical="bottom"/>
    </xf>
    <xf borderId="12" fillId="0" fontId="8" numFmtId="9" xfId="0" applyAlignment="1" applyBorder="1" applyFont="1" applyNumberFormat="1">
      <alignment horizontal="right" readingOrder="0" vertical="bottom"/>
    </xf>
    <xf borderId="13" fillId="0" fontId="8" numFmtId="9" xfId="0" applyAlignment="1" applyBorder="1" applyFont="1" applyNumberFormat="1">
      <alignment horizontal="right" readingOrder="0" vertical="bottom"/>
    </xf>
    <xf borderId="1" fillId="2" fontId="10" numFmtId="0" xfId="0" applyBorder="1" applyFont="1"/>
    <xf borderId="12" fillId="0" fontId="1" numFmtId="168" xfId="0" applyAlignment="1" applyBorder="1" applyFont="1" applyNumberFormat="1">
      <alignment horizontal="right" vertical="bottom"/>
    </xf>
    <xf borderId="38" fillId="2" fontId="4" numFmtId="0" xfId="0" applyBorder="1" applyFont="1"/>
    <xf borderId="12" fillId="0" fontId="1" numFmtId="0" xfId="0" applyAlignment="1" applyBorder="1" applyFont="1">
      <alignment horizontal="right" vertical="bottom"/>
    </xf>
    <xf borderId="13" fillId="0" fontId="1" numFmtId="0" xfId="0" applyAlignment="1" applyBorder="1" applyFont="1">
      <alignment horizontal="right" vertical="bottom"/>
    </xf>
    <xf borderId="14" fillId="0" fontId="1" numFmtId="0" xfId="0" applyAlignment="1" applyBorder="1" applyFont="1">
      <alignment horizontal="right" vertical="bottom"/>
    </xf>
    <xf borderId="22" fillId="0" fontId="8" numFmtId="0" xfId="0" applyAlignment="1" applyBorder="1" applyFont="1">
      <alignment vertical="bottom"/>
    </xf>
    <xf borderId="23" fillId="0" fontId="1" numFmtId="0" xfId="0" applyAlignment="1" applyBorder="1" applyFont="1">
      <alignment horizontal="right" vertical="bottom"/>
    </xf>
    <xf borderId="23" fillId="0" fontId="1" numFmtId="9" xfId="0" applyAlignment="1" applyBorder="1" applyFont="1" applyNumberFormat="1">
      <alignment horizontal="right" vertical="bottom"/>
    </xf>
    <xf borderId="23" fillId="0" fontId="8" numFmtId="9" xfId="0" applyAlignment="1" applyBorder="1" applyFont="1" applyNumberFormat="1">
      <alignment horizontal="right" vertical="bottom"/>
    </xf>
    <xf borderId="24" fillId="0" fontId="8" numFmtId="9" xfId="0" applyAlignment="1" applyBorder="1" applyFont="1" applyNumberFormat="1">
      <alignment horizontal="right" vertical="bottom"/>
    </xf>
    <xf borderId="25" fillId="0" fontId="8" numFmtId="9" xfId="0" applyAlignment="1" applyBorder="1" applyFont="1" applyNumberFormat="1">
      <alignment horizontal="right" readingOrder="0" vertical="bottom"/>
    </xf>
    <xf borderId="23" fillId="0" fontId="8" numFmtId="9" xfId="0" applyAlignment="1" applyBorder="1" applyFont="1" applyNumberFormat="1">
      <alignment horizontal="right" readingOrder="0" vertical="bottom"/>
    </xf>
    <xf borderId="24" fillId="0" fontId="8" numFmtId="9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readingOrder="0"/>
    </xf>
    <xf borderId="1" fillId="3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edgar/browse/?CIK=30697&amp;owner=exclud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.0"/>
    <col customWidth="1" min="3" max="3" width="32.43"/>
    <col customWidth="1" min="4" max="4" width="9.43"/>
    <col customWidth="1" min="5" max="5" width="9.0"/>
    <col customWidth="1" min="6" max="17" width="9.14"/>
    <col customWidth="1" min="18" max="18" width="132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2" t="s">
        <v>0</v>
      </c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1"/>
      <c r="C3" s="4" t="s">
        <v>1</v>
      </c>
      <c r="D3" s="5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6"/>
      <c r="Q3" s="1"/>
      <c r="R3" s="1"/>
      <c r="S3" s="1"/>
      <c r="T3" s="1"/>
    </row>
    <row r="4">
      <c r="A4" s="1"/>
      <c r="B4" s="1"/>
      <c r="C4" s="4" t="s">
        <v>2</v>
      </c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7"/>
      <c r="R5" s="1"/>
      <c r="S5" s="1"/>
      <c r="T5" s="1"/>
    </row>
    <row r="6">
      <c r="A6" s="1"/>
      <c r="B6" s="9"/>
      <c r="C6" s="10" t="s">
        <v>3</v>
      </c>
      <c r="D6" s="11"/>
      <c r="E6" s="12" t="s">
        <v>4</v>
      </c>
      <c r="F6" s="13"/>
      <c r="G6" s="13"/>
      <c r="H6" s="13"/>
      <c r="I6" s="13"/>
      <c r="J6" s="13"/>
      <c r="K6" s="13"/>
      <c r="L6" s="14"/>
      <c r="M6" s="15" t="s">
        <v>5</v>
      </c>
      <c r="N6" s="13"/>
      <c r="O6" s="13"/>
      <c r="P6" s="13"/>
      <c r="Q6" s="14"/>
      <c r="R6" s="16"/>
      <c r="S6" s="1"/>
      <c r="T6" s="1"/>
    </row>
    <row r="7">
      <c r="A7" s="1"/>
      <c r="B7" s="9"/>
      <c r="C7" s="17" t="s">
        <v>6</v>
      </c>
      <c r="D7" s="18"/>
      <c r="E7" s="19" t="s">
        <v>7</v>
      </c>
      <c r="F7" s="19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20" t="s">
        <v>14</v>
      </c>
      <c r="M7" s="21" t="s">
        <v>15</v>
      </c>
      <c r="N7" s="19" t="s">
        <v>16</v>
      </c>
      <c r="O7" s="19" t="s">
        <v>17</v>
      </c>
      <c r="P7" s="19" t="s">
        <v>18</v>
      </c>
      <c r="Q7" s="20" t="s">
        <v>19</v>
      </c>
      <c r="R7" s="1"/>
      <c r="S7" s="1"/>
      <c r="T7" s="1"/>
    </row>
    <row r="8">
      <c r="A8" s="1"/>
      <c r="B8" s="9"/>
      <c r="C8" s="22"/>
      <c r="D8" s="23"/>
      <c r="E8" s="24">
        <v>45642.0</v>
      </c>
      <c r="F8" s="25">
        <v>45643.0</v>
      </c>
      <c r="G8" s="25">
        <v>45644.0</v>
      </c>
      <c r="H8" s="25">
        <v>45645.0</v>
      </c>
      <c r="I8" s="25">
        <v>45646.0</v>
      </c>
      <c r="J8" s="25">
        <v>45647.0</v>
      </c>
      <c r="K8" s="25">
        <v>45648.0</v>
      </c>
      <c r="L8" s="26">
        <v>45649.0</v>
      </c>
      <c r="M8" s="27">
        <v>45650.0</v>
      </c>
      <c r="N8" s="25">
        <v>45651.0</v>
      </c>
      <c r="O8" s="25">
        <v>45652.0</v>
      </c>
      <c r="P8" s="25">
        <v>45653.0</v>
      </c>
      <c r="Q8" s="26">
        <v>45654.0</v>
      </c>
      <c r="R8" s="1"/>
      <c r="S8" s="1"/>
      <c r="T8" s="1"/>
    </row>
    <row r="9">
      <c r="A9" s="1"/>
      <c r="B9" s="9"/>
      <c r="C9" s="10" t="s">
        <v>20</v>
      </c>
      <c r="D9" s="11"/>
      <c r="E9" s="11"/>
      <c r="F9" s="11"/>
      <c r="G9" s="11"/>
      <c r="H9" s="11"/>
      <c r="I9" s="11"/>
      <c r="J9" s="11"/>
      <c r="K9" s="11"/>
      <c r="L9" s="28"/>
      <c r="M9" s="29"/>
      <c r="N9" s="11"/>
      <c r="O9" s="29"/>
      <c r="P9" s="30"/>
      <c r="Q9" s="31"/>
      <c r="R9" s="16"/>
      <c r="S9" s="1"/>
      <c r="T9" s="1"/>
    </row>
    <row r="10">
      <c r="A10" s="1"/>
      <c r="B10" s="32"/>
      <c r="C10" s="33" t="s">
        <v>21</v>
      </c>
      <c r="D10" s="34"/>
      <c r="E10" s="34"/>
      <c r="F10" s="34"/>
      <c r="G10" s="34"/>
      <c r="H10" s="34"/>
      <c r="I10" s="34"/>
      <c r="J10" s="34"/>
      <c r="K10" s="34"/>
      <c r="L10" s="35"/>
      <c r="M10" s="36"/>
      <c r="N10" s="34"/>
      <c r="O10" s="36"/>
      <c r="P10" s="34"/>
      <c r="Q10" s="35"/>
      <c r="R10" s="16"/>
      <c r="S10" s="1"/>
      <c r="T10" s="1"/>
    </row>
    <row r="11">
      <c r="A11" s="37"/>
      <c r="B11" s="38"/>
      <c r="C11" s="39" t="s">
        <v>22</v>
      </c>
      <c r="D11" s="40"/>
      <c r="E11" s="41">
        <v>6479.0</v>
      </c>
      <c r="F11" s="42">
        <v>6537.0</v>
      </c>
      <c r="G11" s="42">
        <v>6634.0</v>
      </c>
      <c r="H11" s="42">
        <v>6711.0</v>
      </c>
      <c r="I11" s="42">
        <v>6788.0</v>
      </c>
      <c r="J11" s="42">
        <v>6828.0</v>
      </c>
      <c r="K11" s="42">
        <v>6949.0</v>
      </c>
      <c r="L11" s="43">
        <v>7095.0</v>
      </c>
      <c r="M11" s="44">
        <f t="shared" ref="M11:Q11" si="1">L14</f>
        <v>7240</v>
      </c>
      <c r="N11" s="42">
        <f t="shared" si="1"/>
        <v>7435.113041</v>
      </c>
      <c r="O11" s="44">
        <f t="shared" si="1"/>
        <v>7691.593376</v>
      </c>
      <c r="P11" s="44">
        <f t="shared" si="1"/>
        <v>8023.116699</v>
      </c>
      <c r="Q11" s="45">
        <f t="shared" si="1"/>
        <v>8446.298293</v>
      </c>
      <c r="R11" s="46" t="s">
        <v>23</v>
      </c>
      <c r="S11" s="37"/>
      <c r="T11" s="3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</row>
    <row r="12">
      <c r="A12" s="1"/>
      <c r="B12" s="9"/>
      <c r="C12" s="48" t="s">
        <v>24</v>
      </c>
      <c r="D12" s="18"/>
      <c r="E12" s="49">
        <v>149.0</v>
      </c>
      <c r="F12" s="49">
        <v>174.0</v>
      </c>
      <c r="G12" s="49">
        <v>159.0</v>
      </c>
      <c r="H12" s="49">
        <v>182.0</v>
      </c>
      <c r="I12" s="49">
        <v>147.0</v>
      </c>
      <c r="J12" s="49">
        <v>210.0</v>
      </c>
      <c r="K12" s="49">
        <v>276.0</v>
      </c>
      <c r="L12" s="50">
        <v>248.0</v>
      </c>
      <c r="M12" s="51">
        <f>L12*(1+F33)</f>
        <v>301.0230504</v>
      </c>
      <c r="N12" s="49">
        <f>M12*(1+F33)</f>
        <v>365.382568</v>
      </c>
      <c r="O12" s="51">
        <f>N12*(1+F33)</f>
        <v>443.5023192</v>
      </c>
      <c r="P12" s="52">
        <f>O12*(1+F33)</f>
        <v>538.3242782</v>
      </c>
      <c r="Q12" s="53">
        <f>P12*(1+F33)</f>
        <v>653.4194206</v>
      </c>
      <c r="R12" s="46" t="s">
        <v>25</v>
      </c>
      <c r="S12" s="1"/>
      <c r="T12" s="1"/>
      <c r="V12" s="54"/>
    </row>
    <row r="13">
      <c r="A13" s="37"/>
      <c r="B13" s="38"/>
      <c r="C13" s="48" t="s">
        <v>26</v>
      </c>
      <c r="D13" s="18"/>
      <c r="E13" s="55">
        <v>-91.0</v>
      </c>
      <c r="F13" s="55">
        <v>-77.0</v>
      </c>
      <c r="G13" s="55">
        <v>-82.0</v>
      </c>
      <c r="H13" s="55">
        <v>-105.0</v>
      </c>
      <c r="I13" s="55">
        <v>-107.0</v>
      </c>
      <c r="J13" s="55">
        <v>-89.0</v>
      </c>
      <c r="K13" s="55">
        <v>-130.0</v>
      </c>
      <c r="L13" s="56">
        <v>-103.0</v>
      </c>
      <c r="M13" s="57">
        <f>L13*(1+F36)</f>
        <v>-105.9100092</v>
      </c>
      <c r="N13" s="58">
        <f>M13*(1+F36)</f>
        <v>-108.9022336</v>
      </c>
      <c r="O13" s="57">
        <f>N13*(1+F36)</f>
        <v>-111.9789957</v>
      </c>
      <c r="P13" s="58">
        <f>O13*(1+F36)</f>
        <v>-115.1426842</v>
      </c>
      <c r="Q13" s="59">
        <f>P13*(1+F36)</f>
        <v>-118.3957548</v>
      </c>
      <c r="R13" s="46" t="s">
        <v>27</v>
      </c>
      <c r="S13" s="1"/>
      <c r="T13" s="1"/>
      <c r="V13" s="54"/>
    </row>
    <row r="14">
      <c r="A14" s="37"/>
      <c r="B14" s="38"/>
      <c r="C14" s="48" t="s">
        <v>28</v>
      </c>
      <c r="D14" s="18"/>
      <c r="E14" s="52">
        <v>6537.0</v>
      </c>
      <c r="F14" s="52">
        <v>6634.0</v>
      </c>
      <c r="G14" s="52">
        <v>6711.0</v>
      </c>
      <c r="H14" s="52">
        <v>6788.0</v>
      </c>
      <c r="I14" s="52">
        <v>6828.0</v>
      </c>
      <c r="J14" s="52">
        <v>6949.0</v>
      </c>
      <c r="K14" s="52">
        <v>7095.0</v>
      </c>
      <c r="L14" s="53">
        <v>7240.0</v>
      </c>
      <c r="M14" s="51">
        <f t="shared" ref="M14:Q14" si="2">SUM(M11:M13)</f>
        <v>7435.113041</v>
      </c>
      <c r="N14" s="51">
        <f t="shared" si="2"/>
        <v>7691.593376</v>
      </c>
      <c r="O14" s="51">
        <f t="shared" si="2"/>
        <v>8023.116699</v>
      </c>
      <c r="P14" s="51">
        <f t="shared" si="2"/>
        <v>8446.298293</v>
      </c>
      <c r="Q14" s="60">
        <f t="shared" si="2"/>
        <v>8981.321959</v>
      </c>
      <c r="R14" s="46"/>
      <c r="S14" s="37"/>
      <c r="T14" s="37"/>
      <c r="U14" s="47"/>
      <c r="V14" s="54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</row>
    <row r="15">
      <c r="A15" s="1"/>
      <c r="B15" s="9"/>
      <c r="C15" s="48" t="s">
        <v>29</v>
      </c>
      <c r="D15" s="18"/>
      <c r="E15" s="61">
        <v>219584.0</v>
      </c>
      <c r="F15" s="62">
        <v>184415.0</v>
      </c>
      <c r="G15" s="62">
        <v>236915.0</v>
      </c>
      <c r="H15" s="62">
        <v>251768.0</v>
      </c>
      <c r="I15" s="62">
        <v>253929.0</v>
      </c>
      <c r="J15" s="62">
        <v>272989.0</v>
      </c>
      <c r="K15" s="62">
        <v>295350.0</v>
      </c>
      <c r="L15" s="63">
        <v>301323.0</v>
      </c>
      <c r="M15" s="64">
        <f t="shared" ref="M15:Q15" si="3">L15*(1+M16)</f>
        <v>310362.69</v>
      </c>
      <c r="N15" s="62">
        <f t="shared" si="3"/>
        <v>325880.8245</v>
      </c>
      <c r="O15" s="64">
        <f t="shared" si="3"/>
        <v>348692.4822</v>
      </c>
      <c r="P15" s="64">
        <f t="shared" si="3"/>
        <v>376587.8808</v>
      </c>
      <c r="Q15" s="65">
        <f t="shared" si="3"/>
        <v>410480.7901</v>
      </c>
      <c r="R15" s="46" t="s">
        <v>30</v>
      </c>
      <c r="S15" s="1"/>
      <c r="T15" s="1"/>
      <c r="V15" s="54"/>
    </row>
    <row r="16" ht="15.75" customHeight="1">
      <c r="A16" s="1"/>
      <c r="B16" s="9"/>
      <c r="C16" s="66" t="s">
        <v>31</v>
      </c>
      <c r="D16" s="18"/>
      <c r="E16" s="67" t="s">
        <v>32</v>
      </c>
      <c r="F16" s="68">
        <v>-0.16</v>
      </c>
      <c r="G16" s="68">
        <v>0.28</v>
      </c>
      <c r="H16" s="68">
        <v>0.06</v>
      </c>
      <c r="I16" s="68">
        <v>0.01</v>
      </c>
      <c r="J16" s="68">
        <v>0.08</v>
      </c>
      <c r="K16" s="68">
        <v>0.08</v>
      </c>
      <c r="L16" s="69">
        <v>0.02</v>
      </c>
      <c r="M16" s="70">
        <f>3%</f>
        <v>0.03</v>
      </c>
      <c r="N16" s="68">
        <f>5%</f>
        <v>0.05</v>
      </c>
      <c r="O16" s="70">
        <f>7%</f>
        <v>0.07</v>
      </c>
      <c r="P16" s="68">
        <f>8%</f>
        <v>0.08</v>
      </c>
      <c r="Q16" s="69">
        <f>9%</f>
        <v>0.09</v>
      </c>
      <c r="R16" s="71" t="s">
        <v>33</v>
      </c>
      <c r="S16" s="1"/>
      <c r="T16" s="1"/>
      <c r="V16" s="54"/>
    </row>
    <row r="17" ht="15.75" customHeight="1">
      <c r="A17" s="37"/>
      <c r="B17" s="38"/>
      <c r="C17" s="22"/>
      <c r="D17" s="23"/>
      <c r="E17" s="72"/>
      <c r="F17" s="73"/>
      <c r="G17" s="73"/>
      <c r="H17" s="73"/>
      <c r="I17" s="73"/>
      <c r="J17" s="73"/>
      <c r="K17" s="73"/>
      <c r="L17" s="74"/>
      <c r="M17" s="75"/>
      <c r="N17" s="73"/>
      <c r="O17" s="75"/>
      <c r="P17" s="73"/>
      <c r="Q17" s="74"/>
      <c r="R17" s="76"/>
      <c r="S17" s="1"/>
      <c r="T17" s="1"/>
      <c r="V17" s="54"/>
    </row>
    <row r="18" ht="15.75" customHeight="1">
      <c r="A18" s="37"/>
      <c r="B18" s="38"/>
      <c r="C18" s="77" t="s">
        <v>34</v>
      </c>
      <c r="D18" s="78"/>
      <c r="E18" s="79"/>
      <c r="F18" s="79"/>
      <c r="G18" s="80"/>
      <c r="H18" s="80"/>
      <c r="I18" s="80"/>
      <c r="J18" s="80"/>
      <c r="K18" s="80"/>
      <c r="L18" s="81"/>
      <c r="M18" s="82"/>
      <c r="N18" s="80"/>
      <c r="O18" s="82"/>
      <c r="P18" s="80"/>
      <c r="Q18" s="81"/>
      <c r="R18" s="16"/>
      <c r="S18" s="1"/>
      <c r="T18" s="1"/>
      <c r="V18" s="54"/>
    </row>
    <row r="19" ht="15.75" customHeight="1">
      <c r="A19" s="83"/>
      <c r="B19" s="84"/>
      <c r="C19" s="39" t="s">
        <v>35</v>
      </c>
      <c r="D19" s="40"/>
      <c r="E19" s="42">
        <v>1435.0</v>
      </c>
      <c r="F19" s="42">
        <v>1223.0</v>
      </c>
      <c r="G19" s="42">
        <v>1590.0</v>
      </c>
      <c r="H19" s="42">
        <v>1709.0</v>
      </c>
      <c r="I19" s="42">
        <v>1734.0</v>
      </c>
      <c r="J19" s="42">
        <v>1897.0</v>
      </c>
      <c r="K19" s="42">
        <v>2096.0</v>
      </c>
      <c r="L19" s="43">
        <v>2182.0</v>
      </c>
      <c r="M19" s="85">
        <f t="shared" ref="M19:Q19" si="4">M15*M14/1000000</f>
        <v>2307.581684</v>
      </c>
      <c r="N19" s="42">
        <f t="shared" si="4"/>
        <v>2506.542791</v>
      </c>
      <c r="O19" s="85">
        <f t="shared" si="4"/>
        <v>2797.600477</v>
      </c>
      <c r="P19" s="42">
        <f t="shared" si="4"/>
        <v>3180.773575</v>
      </c>
      <c r="Q19" s="43">
        <f t="shared" si="4"/>
        <v>3686.660133</v>
      </c>
      <c r="R19" s="86" t="s">
        <v>36</v>
      </c>
      <c r="S19" s="87"/>
      <c r="T19" s="87"/>
      <c r="U19" s="88"/>
      <c r="V19" s="54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</row>
    <row r="20" ht="15.75" customHeight="1">
      <c r="A20" s="37"/>
      <c r="B20" s="38"/>
      <c r="C20" s="17" t="s">
        <v>37</v>
      </c>
      <c r="D20" s="18"/>
      <c r="E20" s="89">
        <v>921.0</v>
      </c>
      <c r="F20" s="89">
        <v>623.0</v>
      </c>
      <c r="G20" s="89">
        <v>652.0</v>
      </c>
      <c r="H20" s="89">
        <v>708.0</v>
      </c>
      <c r="I20" s="89">
        <v>723.0</v>
      </c>
      <c r="J20" s="89">
        <v>734.0</v>
      </c>
      <c r="K20" s="89">
        <v>897.0</v>
      </c>
      <c r="L20" s="90">
        <v>930.0</v>
      </c>
      <c r="M20" s="91">
        <f t="shared" ref="M20:Q20" si="5">M19*M21</f>
        <v>969.1843072</v>
      </c>
      <c r="N20" s="89">
        <f t="shared" si="5"/>
        <v>1052.747972</v>
      </c>
      <c r="O20" s="91">
        <f t="shared" si="5"/>
        <v>1147.016196</v>
      </c>
      <c r="P20" s="89">
        <f t="shared" si="5"/>
        <v>1304.117166</v>
      </c>
      <c r="Q20" s="90">
        <f t="shared" si="5"/>
        <v>1474.664053</v>
      </c>
      <c r="R20" s="86" t="s">
        <v>38</v>
      </c>
      <c r="S20" s="1"/>
      <c r="T20" s="1"/>
      <c r="V20" s="54"/>
    </row>
    <row r="21" ht="15.75" customHeight="1">
      <c r="A21" s="83"/>
      <c r="B21" s="84"/>
      <c r="C21" s="66" t="s">
        <v>39</v>
      </c>
      <c r="D21" s="18"/>
      <c r="E21" s="68">
        <v>0.64</v>
      </c>
      <c r="F21" s="68">
        <v>0.51</v>
      </c>
      <c r="G21" s="68">
        <v>0.41</v>
      </c>
      <c r="H21" s="68">
        <v>0.41</v>
      </c>
      <c r="I21" s="68">
        <v>0.42</v>
      </c>
      <c r="J21" s="68">
        <v>0.39</v>
      </c>
      <c r="K21" s="68">
        <v>0.43</v>
      </c>
      <c r="L21" s="69">
        <v>0.43</v>
      </c>
      <c r="M21" s="92">
        <v>0.42</v>
      </c>
      <c r="N21" s="93">
        <v>0.42</v>
      </c>
      <c r="O21" s="92">
        <v>0.41</v>
      </c>
      <c r="P21" s="93">
        <v>0.41</v>
      </c>
      <c r="Q21" s="94">
        <v>0.4</v>
      </c>
      <c r="R21" s="86" t="s">
        <v>40</v>
      </c>
      <c r="S21" s="87"/>
      <c r="T21" s="87"/>
      <c r="U21" s="88"/>
      <c r="V21" s="54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</row>
    <row r="22" ht="15.75" customHeight="1">
      <c r="A22" s="37"/>
      <c r="B22" s="38"/>
      <c r="C22" s="17" t="s">
        <v>41</v>
      </c>
      <c r="D22" s="18"/>
      <c r="E22" s="89">
        <v>342.0</v>
      </c>
      <c r="F22" s="89">
        <v>366.0</v>
      </c>
      <c r="G22" s="89">
        <v>378.0</v>
      </c>
      <c r="H22" s="89">
        <v>400.0</v>
      </c>
      <c r="I22" s="89">
        <v>416.0</v>
      </c>
      <c r="J22" s="89">
        <v>461.0</v>
      </c>
      <c r="K22" s="89">
        <v>486.0</v>
      </c>
      <c r="L22" s="90">
        <v>512.0</v>
      </c>
      <c r="M22" s="91">
        <f t="shared" ref="M22:Q22" si="6">M19*M23</f>
        <v>553.8196041</v>
      </c>
      <c r="N22" s="89">
        <f t="shared" si="6"/>
        <v>601.5702698</v>
      </c>
      <c r="O22" s="91">
        <f t="shared" si="6"/>
        <v>699.4001192</v>
      </c>
      <c r="P22" s="89">
        <f t="shared" si="6"/>
        <v>795.1933937</v>
      </c>
      <c r="Q22" s="90">
        <f t="shared" si="6"/>
        <v>958.5316347</v>
      </c>
      <c r="R22" s="95" t="s">
        <v>42</v>
      </c>
      <c r="S22" s="1"/>
      <c r="T22" s="1"/>
      <c r="V22" s="54"/>
    </row>
    <row r="23" ht="15.75" customHeight="1">
      <c r="A23" s="83"/>
      <c r="B23" s="84"/>
      <c r="C23" s="66" t="s">
        <v>39</v>
      </c>
      <c r="D23" s="18"/>
      <c r="E23" s="68">
        <v>0.24</v>
      </c>
      <c r="F23" s="68">
        <v>0.3</v>
      </c>
      <c r="G23" s="68">
        <v>0.24</v>
      </c>
      <c r="H23" s="68">
        <v>0.23</v>
      </c>
      <c r="I23" s="68">
        <v>0.24</v>
      </c>
      <c r="J23" s="68">
        <v>0.24</v>
      </c>
      <c r="K23" s="68">
        <v>0.23</v>
      </c>
      <c r="L23" s="69">
        <v>0.23</v>
      </c>
      <c r="M23" s="92">
        <v>0.24</v>
      </c>
      <c r="N23" s="93">
        <v>0.24</v>
      </c>
      <c r="O23" s="92">
        <v>0.25</v>
      </c>
      <c r="P23" s="93">
        <v>0.25</v>
      </c>
      <c r="Q23" s="94">
        <v>0.26</v>
      </c>
      <c r="R23" s="95" t="s">
        <v>43</v>
      </c>
      <c r="S23" s="87"/>
      <c r="T23" s="87"/>
      <c r="U23" s="88"/>
      <c r="V23" s="5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</row>
    <row r="24" ht="15.75" customHeight="1">
      <c r="A24" s="37"/>
      <c r="B24" s="38"/>
      <c r="C24" s="17" t="s">
        <v>44</v>
      </c>
      <c r="D24" s="18"/>
      <c r="E24" s="89">
        <v>29.0</v>
      </c>
      <c r="F24" s="89">
        <v>44.0</v>
      </c>
      <c r="G24" s="89">
        <v>31.0</v>
      </c>
      <c r="H24" s="89">
        <v>29.0</v>
      </c>
      <c r="I24" s="89">
        <v>28.0</v>
      </c>
      <c r="J24" s="89">
        <v>76.0</v>
      </c>
      <c r="K24" s="89">
        <v>73.0</v>
      </c>
      <c r="L24" s="90">
        <v>81.0</v>
      </c>
      <c r="M24" s="91">
        <f t="shared" ref="M24:Q24" si="7">M19*M25</f>
        <v>69.22745052</v>
      </c>
      <c r="N24" s="89">
        <f t="shared" si="7"/>
        <v>75.19628373</v>
      </c>
      <c r="O24" s="91">
        <f t="shared" si="7"/>
        <v>83.92801431</v>
      </c>
      <c r="P24" s="89">
        <f t="shared" si="7"/>
        <v>95.42320724</v>
      </c>
      <c r="Q24" s="90">
        <f t="shared" si="7"/>
        <v>110.599804</v>
      </c>
      <c r="R24" s="95" t="s">
        <v>45</v>
      </c>
      <c r="S24" s="1"/>
      <c r="T24" s="1"/>
      <c r="V24" s="54"/>
    </row>
    <row r="25" ht="15.75" customHeight="1">
      <c r="A25" s="83"/>
      <c r="B25" s="84"/>
      <c r="C25" s="66" t="s">
        <v>39</v>
      </c>
      <c r="D25" s="18"/>
      <c r="E25" s="68">
        <v>0.02</v>
      </c>
      <c r="F25" s="68">
        <v>0.04</v>
      </c>
      <c r="G25" s="68">
        <v>0.02</v>
      </c>
      <c r="H25" s="68">
        <v>0.02</v>
      </c>
      <c r="I25" s="68">
        <v>0.02</v>
      </c>
      <c r="J25" s="68">
        <v>0.04</v>
      </c>
      <c r="K25" s="68">
        <v>0.03</v>
      </c>
      <c r="L25" s="69">
        <v>0.04</v>
      </c>
      <c r="M25" s="92">
        <v>0.03</v>
      </c>
      <c r="N25" s="93">
        <v>0.03</v>
      </c>
      <c r="O25" s="92">
        <v>0.03</v>
      </c>
      <c r="P25" s="93">
        <v>0.03</v>
      </c>
      <c r="Q25" s="94">
        <v>0.03</v>
      </c>
      <c r="R25" s="95" t="s">
        <v>46</v>
      </c>
      <c r="S25" s="87"/>
      <c r="T25" s="87"/>
      <c r="U25" s="88"/>
      <c r="V25" s="54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</row>
    <row r="26" ht="15.75" customHeight="1">
      <c r="A26" s="37"/>
      <c r="B26" s="38"/>
      <c r="C26" s="17" t="s">
        <v>47</v>
      </c>
      <c r="D26" s="18"/>
      <c r="E26" s="96">
        <v>143.0</v>
      </c>
      <c r="F26" s="96">
        <v>190.0</v>
      </c>
      <c r="G26" s="89">
        <v>203.0</v>
      </c>
      <c r="H26" s="89">
        <v>233.0</v>
      </c>
      <c r="I26" s="89">
        <v>233.0</v>
      </c>
      <c r="J26" s="89">
        <v>237.0</v>
      </c>
      <c r="K26" s="89">
        <v>234.0</v>
      </c>
      <c r="L26" s="90">
        <v>230.0</v>
      </c>
      <c r="M26" s="91">
        <f t="shared" ref="M26:Q26" si="8">M19*M27</f>
        <v>253.8339852</v>
      </c>
      <c r="N26" s="89">
        <f t="shared" si="8"/>
        <v>300.7851349</v>
      </c>
      <c r="O26" s="91">
        <f t="shared" si="8"/>
        <v>307.7360525</v>
      </c>
      <c r="P26" s="89">
        <f t="shared" si="8"/>
        <v>349.8850932</v>
      </c>
      <c r="Q26" s="90">
        <f t="shared" si="8"/>
        <v>405.5326147</v>
      </c>
      <c r="R26" s="95" t="s">
        <v>48</v>
      </c>
      <c r="S26" s="1"/>
      <c r="T26" s="1"/>
      <c r="V26" s="54"/>
    </row>
    <row r="27" ht="15.75" customHeight="1">
      <c r="A27" s="83"/>
      <c r="B27" s="84"/>
      <c r="C27" s="66" t="s">
        <v>39</v>
      </c>
      <c r="D27" s="18"/>
      <c r="E27" s="68">
        <v>0.1</v>
      </c>
      <c r="F27" s="68">
        <v>0.16</v>
      </c>
      <c r="G27" s="68">
        <v>0.13</v>
      </c>
      <c r="H27" s="68">
        <v>0.14</v>
      </c>
      <c r="I27" s="68">
        <v>0.13</v>
      </c>
      <c r="J27" s="68">
        <v>0.12</v>
      </c>
      <c r="K27" s="68">
        <v>0.11</v>
      </c>
      <c r="L27" s="69">
        <v>0.11</v>
      </c>
      <c r="M27" s="92">
        <v>0.11</v>
      </c>
      <c r="N27" s="93">
        <v>0.12</v>
      </c>
      <c r="O27" s="92">
        <v>0.11</v>
      </c>
      <c r="P27" s="93">
        <v>0.11</v>
      </c>
      <c r="Q27" s="94">
        <v>0.11</v>
      </c>
      <c r="R27" s="95" t="s">
        <v>49</v>
      </c>
      <c r="S27" s="87"/>
      <c r="T27" s="87"/>
      <c r="U27" s="88"/>
      <c r="V27" s="54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</row>
    <row r="28" ht="15.75" customHeight="1">
      <c r="A28" s="37"/>
      <c r="B28" s="97"/>
      <c r="C28" s="17" t="s">
        <v>50</v>
      </c>
      <c r="D28" s="18"/>
      <c r="E28" s="98" t="s">
        <v>32</v>
      </c>
      <c r="F28" s="98" t="s">
        <v>32</v>
      </c>
      <c r="G28" s="98">
        <v>326.0</v>
      </c>
      <c r="H28" s="98">
        <v>339.0</v>
      </c>
      <c r="I28" s="98">
        <v>334.0</v>
      </c>
      <c r="J28" s="98">
        <v>389.0</v>
      </c>
      <c r="K28" s="98">
        <v>406.0</v>
      </c>
      <c r="L28" s="99">
        <v>429.0</v>
      </c>
      <c r="M28" s="100">
        <f t="shared" ref="M28:Q28" si="9">M19*M29</f>
        <v>461.5163368</v>
      </c>
      <c r="N28" s="98">
        <f t="shared" si="9"/>
        <v>476.2431303</v>
      </c>
      <c r="O28" s="100">
        <f t="shared" si="9"/>
        <v>559.5200954</v>
      </c>
      <c r="P28" s="98">
        <f t="shared" si="9"/>
        <v>636.1547149</v>
      </c>
      <c r="Q28" s="99">
        <f t="shared" si="9"/>
        <v>737.3320267</v>
      </c>
      <c r="R28" s="95" t="s">
        <v>51</v>
      </c>
      <c r="S28" s="37"/>
      <c r="T28" s="37"/>
      <c r="U28" s="47"/>
      <c r="V28" s="54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</row>
    <row r="29" ht="15.75" customHeight="1">
      <c r="A29" s="1"/>
      <c r="B29" s="1"/>
      <c r="C29" s="101" t="s">
        <v>39</v>
      </c>
      <c r="D29" s="34"/>
      <c r="E29" s="102" t="s">
        <v>32</v>
      </c>
      <c r="F29" s="102" t="s">
        <v>32</v>
      </c>
      <c r="G29" s="103">
        <v>0.21</v>
      </c>
      <c r="H29" s="104">
        <v>0.2</v>
      </c>
      <c r="I29" s="104">
        <v>0.19</v>
      </c>
      <c r="J29" s="104">
        <v>0.21</v>
      </c>
      <c r="K29" s="104">
        <v>0.19</v>
      </c>
      <c r="L29" s="105">
        <v>0.2</v>
      </c>
      <c r="M29" s="106">
        <v>0.2</v>
      </c>
      <c r="N29" s="107">
        <v>0.19</v>
      </c>
      <c r="O29" s="106">
        <v>0.2</v>
      </c>
      <c r="P29" s="107">
        <v>0.2</v>
      </c>
      <c r="Q29" s="108">
        <v>0.2</v>
      </c>
      <c r="R29" s="95" t="s">
        <v>52</v>
      </c>
      <c r="S29" s="1"/>
      <c r="T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hidden="1" customHeight="1">
      <c r="A31" s="1"/>
      <c r="B31" s="1"/>
      <c r="C31" s="109" t="s">
        <v>53</v>
      </c>
      <c r="D31" s="1"/>
      <c r="E31" s="1"/>
      <c r="F31" s="1">
        <f t="shared" ref="F31:L31" si="10">(F12-E12)/E12</f>
        <v>0.1677852349</v>
      </c>
      <c r="G31" s="1">
        <f t="shared" si="10"/>
        <v>-0.08620689655</v>
      </c>
      <c r="H31" s="1">
        <f t="shared" si="10"/>
        <v>0.1446540881</v>
      </c>
      <c r="I31" s="1">
        <f t="shared" si="10"/>
        <v>-0.1923076923</v>
      </c>
      <c r="J31" s="1">
        <f t="shared" si="10"/>
        <v>0.4285714286</v>
      </c>
      <c r="K31" s="1">
        <f t="shared" si="10"/>
        <v>0.3142857143</v>
      </c>
      <c r="L31" s="1">
        <f t="shared" si="10"/>
        <v>-0.1014492754</v>
      </c>
      <c r="M31" s="1"/>
      <c r="N31" s="1"/>
      <c r="O31" s="1"/>
      <c r="P31" s="1"/>
      <c r="Q31" s="1"/>
      <c r="R31" s="110" t="s">
        <v>54</v>
      </c>
      <c r="S31" s="1"/>
      <c r="T31" s="1"/>
    </row>
    <row r="32" ht="15.75" hidden="1" customHeight="1">
      <c r="A32" s="1"/>
      <c r="B32" s="1"/>
      <c r="C32" s="109" t="s">
        <v>55</v>
      </c>
      <c r="D32" s="1"/>
      <c r="E32" s="1"/>
      <c r="F32" s="1">
        <f>AVERAGE(F31:L31)</f>
        <v>0.09647608594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hidden="1" customHeight="1">
      <c r="A33" s="1"/>
      <c r="B33" s="1"/>
      <c r="C33" s="109" t="s">
        <v>56</v>
      </c>
      <c r="D33" s="1"/>
      <c r="E33" s="1"/>
      <c r="F33" s="1">
        <f>AVERAGE(J31:L31)</f>
        <v>0.2138026225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hidden="1" customHeight="1">
      <c r="A34" s="1"/>
      <c r="B34" s="1"/>
      <c r="C34" s="109" t="s">
        <v>57</v>
      </c>
      <c r="D34" s="1"/>
      <c r="E34" s="1"/>
      <c r="F34" s="1">
        <f t="shared" ref="F34:L34" si="11">(F13-E13)/E13</f>
        <v>-0.1538461538</v>
      </c>
      <c r="G34" s="1">
        <f t="shared" si="11"/>
        <v>0.06493506494</v>
      </c>
      <c r="H34" s="1">
        <f t="shared" si="11"/>
        <v>0.2804878049</v>
      </c>
      <c r="I34" s="1">
        <f t="shared" si="11"/>
        <v>0.01904761905</v>
      </c>
      <c r="J34" s="1">
        <f t="shared" si="11"/>
        <v>-0.1682242991</v>
      </c>
      <c r="K34" s="1">
        <f t="shared" si="11"/>
        <v>0.4606741573</v>
      </c>
      <c r="L34" s="1">
        <f t="shared" si="11"/>
        <v>-0.2076923077</v>
      </c>
      <c r="M34" s="1"/>
      <c r="N34" s="1"/>
      <c r="O34" s="1">
        <f>(L15-K15)/K15</f>
        <v>0.02022346369</v>
      </c>
      <c r="P34" s="1"/>
      <c r="Q34" s="1"/>
      <c r="R34" s="1"/>
      <c r="S34" s="1"/>
      <c r="T34" s="1"/>
    </row>
    <row r="35" ht="15.75" hidden="1" customHeight="1">
      <c r="A35" s="1"/>
      <c r="B35" s="1"/>
      <c r="C35" s="109" t="s">
        <v>58</v>
      </c>
      <c r="D35" s="1"/>
      <c r="E35" s="1"/>
      <c r="F35" s="1">
        <f>AVERAGE(F34:L34)</f>
        <v>0.04219741222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hidden="1" customHeight="1">
      <c r="A36" s="1"/>
      <c r="B36" s="1"/>
      <c r="C36" s="109" t="s">
        <v>59</v>
      </c>
      <c r="D36" s="1"/>
      <c r="E36" s="1"/>
      <c r="F36" s="1">
        <f>AVERAGE(J34:L34)</f>
        <v>0.02825251685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0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0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0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0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0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0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0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0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0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R837" s="1"/>
      <c r="S837" s="1"/>
      <c r="T837" s="1"/>
    </row>
    <row r="838" ht="15.0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R838" s="1"/>
      <c r="S838" s="1"/>
      <c r="T838" s="1"/>
    </row>
    <row r="839" ht="15.0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R839" s="1"/>
      <c r="S839" s="1"/>
      <c r="T839" s="1"/>
    </row>
    <row r="840" ht="15.0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R840" s="1"/>
      <c r="S840" s="1"/>
      <c r="T840" s="1"/>
    </row>
    <row r="841" ht="15.0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R841" s="1"/>
      <c r="S841" s="1"/>
      <c r="T841" s="1"/>
    </row>
    <row r="842" ht="15.0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R842" s="1"/>
      <c r="S842" s="1"/>
      <c r="T842" s="1"/>
    </row>
    <row r="843" ht="15.0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R843" s="1"/>
      <c r="S843" s="1"/>
      <c r="T843" s="1"/>
    </row>
    <row r="844" ht="15.0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R844" s="1"/>
      <c r="S844" s="1"/>
      <c r="T844" s="1"/>
    </row>
    <row r="845" ht="15.0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R845" s="1"/>
      <c r="S845" s="1"/>
      <c r="T845" s="1"/>
    </row>
    <row r="846" ht="15.0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R846" s="1"/>
      <c r="S846" s="1"/>
      <c r="T846" s="1"/>
    </row>
    <row r="847" ht="15.0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R847" s="1"/>
      <c r="S847" s="1"/>
      <c r="T847" s="1"/>
    </row>
    <row r="848" ht="15.0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R848" s="1"/>
      <c r="S848" s="1"/>
      <c r="T848" s="1"/>
    </row>
    <row r="849" ht="15.0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R849" s="1"/>
      <c r="S849" s="1"/>
      <c r="T849" s="1"/>
    </row>
    <row r="850" ht="15.0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R850" s="1"/>
      <c r="S850" s="1"/>
      <c r="T850" s="1"/>
    </row>
    <row r="851" ht="15.0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R851" s="1"/>
      <c r="S851" s="1"/>
      <c r="T851" s="1"/>
    </row>
    <row r="852" ht="15.0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R852" s="1"/>
      <c r="S852" s="1"/>
      <c r="T852" s="1"/>
    </row>
    <row r="853" ht="15.0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R853" s="1"/>
      <c r="S853" s="1"/>
      <c r="T853" s="1"/>
    </row>
    <row r="854" ht="15.0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R854" s="1"/>
      <c r="S854" s="1"/>
      <c r="T854" s="1"/>
    </row>
    <row r="855" ht="15.0" customHeight="1">
      <c r="C855" s="1"/>
      <c r="D855" s="1"/>
      <c r="E855" s="1"/>
      <c r="F855" s="1"/>
      <c r="G855" s="1"/>
      <c r="H855" s="1"/>
      <c r="I855" s="1"/>
      <c r="J855" s="1"/>
      <c r="K855" s="1"/>
      <c r="R855" s="1"/>
      <c r="S855" s="1"/>
      <c r="T855" s="1"/>
    </row>
    <row r="856" ht="15.0" customHeight="1">
      <c r="C856" s="1"/>
      <c r="D856" s="1"/>
      <c r="E856" s="1"/>
      <c r="F856" s="1"/>
      <c r="G856" s="1"/>
      <c r="H856" s="1"/>
      <c r="I856" s="1"/>
      <c r="J856" s="1"/>
      <c r="K856" s="1"/>
      <c r="R856" s="1"/>
      <c r="S856" s="1"/>
      <c r="T856" s="1"/>
    </row>
    <row r="857" ht="15.0" customHeight="1">
      <c r="C857" s="1"/>
      <c r="D857" s="1"/>
      <c r="E857" s="1"/>
      <c r="F857" s="1"/>
      <c r="G857" s="1"/>
      <c r="H857" s="1"/>
      <c r="I857" s="1"/>
      <c r="J857" s="1"/>
      <c r="K857" s="1"/>
      <c r="R857" s="1"/>
      <c r="S857" s="1"/>
      <c r="T857" s="1"/>
    </row>
    <row r="858" ht="15.0" customHeight="1">
      <c r="C858" s="1"/>
      <c r="D858" s="1"/>
      <c r="E858" s="1"/>
      <c r="F858" s="1"/>
      <c r="G858" s="1"/>
      <c r="H858" s="1"/>
      <c r="I858" s="1"/>
      <c r="J858" s="1"/>
      <c r="K858" s="1"/>
      <c r="R858" s="1"/>
      <c r="S858" s="1"/>
      <c r="T858" s="1"/>
    </row>
    <row r="859" ht="15.0" customHeight="1">
      <c r="C859" s="1"/>
      <c r="D859" s="1"/>
      <c r="E859" s="1"/>
      <c r="F859" s="1"/>
      <c r="G859" s="1"/>
      <c r="H859" s="1"/>
      <c r="I859" s="1"/>
      <c r="J859" s="1"/>
      <c r="K859" s="1"/>
      <c r="R859" s="1"/>
      <c r="S859" s="1"/>
      <c r="T859" s="1"/>
    </row>
    <row r="860" ht="15.0" customHeight="1">
      <c r="C860" s="1"/>
      <c r="D860" s="1"/>
      <c r="E860" s="1"/>
      <c r="F860" s="1"/>
      <c r="G860" s="1"/>
      <c r="H860" s="1"/>
      <c r="I860" s="1"/>
      <c r="J860" s="1"/>
      <c r="K860" s="1"/>
      <c r="R860" s="1"/>
      <c r="S860" s="1"/>
      <c r="T860" s="1"/>
    </row>
    <row r="861" ht="15.0" customHeight="1">
      <c r="C861" s="1"/>
      <c r="D861" s="1"/>
      <c r="E861" s="1"/>
      <c r="F861" s="1"/>
      <c r="G861" s="1"/>
      <c r="H861" s="1"/>
      <c r="I861" s="1"/>
      <c r="J861" s="1"/>
      <c r="K861" s="1"/>
      <c r="R861" s="1"/>
      <c r="S861" s="1"/>
      <c r="T861" s="1"/>
    </row>
    <row r="862" ht="15.0" customHeight="1">
      <c r="C862" s="1"/>
      <c r="D862" s="1"/>
      <c r="E862" s="1"/>
      <c r="F862" s="1"/>
      <c r="G862" s="1"/>
      <c r="H862" s="1"/>
      <c r="I862" s="1"/>
      <c r="J862" s="1"/>
      <c r="K862" s="1"/>
      <c r="R862" s="1"/>
      <c r="S862" s="1"/>
      <c r="T862" s="1"/>
    </row>
    <row r="863" ht="15.0" customHeight="1">
      <c r="C863" s="1"/>
      <c r="D863" s="1"/>
      <c r="E863" s="1"/>
      <c r="F863" s="1"/>
      <c r="G863" s="1"/>
      <c r="H863" s="1"/>
      <c r="I863" s="1"/>
      <c r="J863" s="1"/>
      <c r="K863" s="1"/>
      <c r="R863" s="1"/>
      <c r="S863" s="1"/>
      <c r="T863" s="1"/>
    </row>
    <row r="864" ht="15.0" customHeight="1">
      <c r="C864" s="1"/>
      <c r="D864" s="1"/>
      <c r="E864" s="1"/>
      <c r="F864" s="1"/>
      <c r="G864" s="1"/>
      <c r="H864" s="1"/>
      <c r="I864" s="1"/>
      <c r="J864" s="1"/>
      <c r="K864" s="1"/>
      <c r="R864" s="1"/>
      <c r="S864" s="1"/>
      <c r="T864" s="1"/>
    </row>
    <row r="865" ht="15.0" customHeight="1">
      <c r="C865" s="1"/>
      <c r="D865" s="1"/>
      <c r="E865" s="1"/>
      <c r="F865" s="1"/>
      <c r="G865" s="1"/>
      <c r="H865" s="1"/>
      <c r="I865" s="1"/>
      <c r="J865" s="1"/>
      <c r="K865" s="1"/>
      <c r="R865" s="1"/>
      <c r="S865" s="1"/>
      <c r="T865" s="1"/>
    </row>
    <row r="866" ht="15.0" customHeight="1">
      <c r="C866" s="1"/>
      <c r="D866" s="1"/>
      <c r="E866" s="1"/>
      <c r="F866" s="1"/>
      <c r="G866" s="1"/>
      <c r="H866" s="1"/>
      <c r="I866" s="1"/>
      <c r="J866" s="1"/>
      <c r="K866" s="1"/>
      <c r="R866" s="1"/>
      <c r="S866" s="1"/>
      <c r="T866" s="1"/>
    </row>
    <row r="867" ht="15.0" customHeight="1">
      <c r="C867" s="1"/>
      <c r="D867" s="1"/>
      <c r="E867" s="1"/>
      <c r="F867" s="1"/>
      <c r="G867" s="1"/>
      <c r="H867" s="1"/>
      <c r="I867" s="1"/>
      <c r="J867" s="1"/>
      <c r="K867" s="1"/>
      <c r="R867" s="1"/>
      <c r="S867" s="1"/>
      <c r="T867" s="1"/>
    </row>
    <row r="868" ht="15.0" customHeight="1">
      <c r="C868" s="1"/>
      <c r="D868" s="1"/>
      <c r="E868" s="1"/>
      <c r="F868" s="1"/>
      <c r="G868" s="1"/>
      <c r="H868" s="1"/>
      <c r="I868" s="1"/>
      <c r="J868" s="1"/>
      <c r="K868" s="1"/>
      <c r="R868" s="1"/>
      <c r="S868" s="1"/>
      <c r="T868" s="1"/>
    </row>
    <row r="869" ht="15.0" customHeight="1">
      <c r="C869" s="1"/>
      <c r="D869" s="1"/>
      <c r="E869" s="1"/>
      <c r="F869" s="1"/>
      <c r="G869" s="1"/>
      <c r="H869" s="1"/>
      <c r="I869" s="1"/>
      <c r="J869" s="1"/>
      <c r="K869" s="1"/>
      <c r="R869" s="1"/>
      <c r="S869" s="1"/>
      <c r="T869" s="1"/>
    </row>
    <row r="870" ht="15.0" customHeight="1">
      <c r="C870" s="1"/>
      <c r="D870" s="1"/>
      <c r="E870" s="1"/>
      <c r="F870" s="1"/>
      <c r="G870" s="1"/>
      <c r="H870" s="1"/>
      <c r="I870" s="1"/>
      <c r="J870" s="1"/>
      <c r="K870" s="1"/>
      <c r="R870" s="1"/>
      <c r="S870" s="1"/>
      <c r="T870" s="1"/>
    </row>
    <row r="871" ht="15.0" customHeight="1">
      <c r="C871" s="1"/>
      <c r="D871" s="1"/>
      <c r="E871" s="1"/>
      <c r="F871" s="1"/>
      <c r="G871" s="1"/>
      <c r="H871" s="1"/>
      <c r="I871" s="1"/>
      <c r="J871" s="1"/>
      <c r="K871" s="1"/>
      <c r="R871" s="1"/>
      <c r="S871" s="1"/>
      <c r="T871" s="1"/>
    </row>
    <row r="872" ht="15.0" customHeight="1">
      <c r="C872" s="1"/>
      <c r="D872" s="1"/>
      <c r="E872" s="1"/>
      <c r="F872" s="1"/>
      <c r="G872" s="1"/>
      <c r="H872" s="1"/>
      <c r="I872" s="1"/>
      <c r="J872" s="1"/>
      <c r="K872" s="1"/>
      <c r="R872" s="1"/>
      <c r="S872" s="1"/>
      <c r="T872" s="1"/>
    </row>
    <row r="873" ht="15.0" customHeight="1">
      <c r="C873" s="1"/>
      <c r="D873" s="1"/>
      <c r="E873" s="1"/>
      <c r="F873" s="1"/>
      <c r="G873" s="1"/>
      <c r="H873" s="1"/>
      <c r="I873" s="1"/>
      <c r="J873" s="1"/>
      <c r="K873" s="1"/>
      <c r="R873" s="1"/>
      <c r="S873" s="1"/>
      <c r="T873" s="1"/>
    </row>
    <row r="874" ht="15.0" customHeight="1">
      <c r="C874" s="1"/>
      <c r="D874" s="1"/>
      <c r="E874" s="1"/>
      <c r="F874" s="1"/>
      <c r="G874" s="1"/>
      <c r="H874" s="1"/>
      <c r="I874" s="1"/>
      <c r="J874" s="1"/>
      <c r="K874" s="1"/>
      <c r="R874" s="1"/>
      <c r="S874" s="1"/>
      <c r="T874" s="1"/>
    </row>
    <row r="875" ht="15.0" customHeight="1">
      <c r="C875" s="1"/>
      <c r="D875" s="1"/>
      <c r="E875" s="1"/>
      <c r="F875" s="1"/>
      <c r="G875" s="1"/>
      <c r="H875" s="1"/>
      <c r="I875" s="1"/>
      <c r="J875" s="1"/>
      <c r="K875" s="1"/>
      <c r="R875" s="1"/>
      <c r="S875" s="1"/>
      <c r="T875" s="1"/>
    </row>
    <row r="876" ht="15.0" customHeight="1">
      <c r="C876" s="1"/>
      <c r="D876" s="1"/>
      <c r="E876" s="1"/>
      <c r="F876" s="1"/>
      <c r="G876" s="1"/>
      <c r="H876" s="1"/>
      <c r="I876" s="1"/>
      <c r="J876" s="1"/>
      <c r="K876" s="1"/>
      <c r="R876" s="1"/>
      <c r="S876" s="1"/>
      <c r="T876" s="1"/>
    </row>
    <row r="877" ht="15.0" customHeight="1">
      <c r="C877" s="1"/>
      <c r="D877" s="1"/>
      <c r="E877" s="1"/>
      <c r="F877" s="1"/>
      <c r="G877" s="1"/>
      <c r="H877" s="1"/>
      <c r="I877" s="1"/>
      <c r="J877" s="1"/>
      <c r="K877" s="1"/>
      <c r="R877" s="1"/>
      <c r="S877" s="1"/>
      <c r="T877" s="1"/>
    </row>
    <row r="878" ht="15.0" customHeight="1">
      <c r="C878" s="1"/>
      <c r="D878" s="1"/>
      <c r="E878" s="1"/>
      <c r="F878" s="1"/>
      <c r="G878" s="1"/>
      <c r="H878" s="1"/>
      <c r="I878" s="1"/>
      <c r="J878" s="1"/>
      <c r="K878" s="1"/>
      <c r="R878" s="1"/>
      <c r="S878" s="1"/>
      <c r="T878" s="1"/>
    </row>
    <row r="879" ht="15.0" customHeight="1">
      <c r="C879" s="1"/>
      <c r="D879" s="1"/>
      <c r="E879" s="1"/>
      <c r="F879" s="1"/>
      <c r="G879" s="1"/>
      <c r="H879" s="1"/>
      <c r="I879" s="1"/>
      <c r="J879" s="1"/>
      <c r="K879" s="1"/>
      <c r="R879" s="1"/>
      <c r="S879" s="1"/>
      <c r="T879" s="1"/>
    </row>
    <row r="880" ht="15.0" customHeight="1">
      <c r="C880" s="1"/>
      <c r="D880" s="1"/>
      <c r="E880" s="1"/>
      <c r="F880" s="1"/>
      <c r="G880" s="1"/>
      <c r="H880" s="1"/>
      <c r="I880" s="1"/>
      <c r="J880" s="1"/>
      <c r="K880" s="1"/>
      <c r="R880" s="1"/>
      <c r="S880" s="1"/>
      <c r="T880" s="1"/>
    </row>
    <row r="881" ht="15.0" customHeight="1">
      <c r="C881" s="1"/>
      <c r="D881" s="1"/>
      <c r="E881" s="1"/>
      <c r="F881" s="1"/>
      <c r="G881" s="1"/>
      <c r="H881" s="1"/>
      <c r="I881" s="1"/>
      <c r="J881" s="1"/>
      <c r="K881" s="1"/>
      <c r="R881" s="1"/>
      <c r="S881" s="1"/>
      <c r="T881" s="1"/>
    </row>
    <row r="882" ht="15.0" customHeight="1">
      <c r="C882" s="1"/>
      <c r="D882" s="1"/>
      <c r="E882" s="1"/>
      <c r="F882" s="1"/>
      <c r="G882" s="1"/>
      <c r="H882" s="1"/>
      <c r="I882" s="1"/>
      <c r="J882" s="1"/>
      <c r="K882" s="1"/>
      <c r="R882" s="1"/>
      <c r="S882" s="1"/>
      <c r="T882" s="1"/>
    </row>
    <row r="883" ht="15.0" customHeight="1">
      <c r="C883" s="1"/>
      <c r="D883" s="1"/>
      <c r="E883" s="1"/>
      <c r="F883" s="1"/>
      <c r="G883" s="1"/>
      <c r="H883" s="1"/>
      <c r="I883" s="1"/>
      <c r="J883" s="1"/>
      <c r="K883" s="1"/>
      <c r="R883" s="1"/>
      <c r="S883" s="1"/>
      <c r="T883" s="1"/>
    </row>
    <row r="884" ht="15.0" customHeight="1">
      <c r="C884" s="1"/>
      <c r="D884" s="1"/>
      <c r="E884" s="1"/>
      <c r="F884" s="1"/>
      <c r="G884" s="1"/>
      <c r="H884" s="1"/>
      <c r="I884" s="1"/>
      <c r="J884" s="1"/>
      <c r="K884" s="1"/>
      <c r="R884" s="1"/>
      <c r="S884" s="1"/>
      <c r="T884" s="1"/>
    </row>
    <row r="885" ht="15.0" customHeight="1">
      <c r="C885" s="1"/>
      <c r="D885" s="1"/>
      <c r="E885" s="1"/>
      <c r="F885" s="1"/>
      <c r="G885" s="1"/>
      <c r="H885" s="1"/>
      <c r="I885" s="1"/>
      <c r="J885" s="1"/>
      <c r="K885" s="1"/>
      <c r="R885" s="1"/>
      <c r="S885" s="1"/>
      <c r="T885" s="1"/>
    </row>
    <row r="886" ht="15.0" customHeight="1">
      <c r="C886" s="1"/>
      <c r="D886" s="1"/>
      <c r="E886" s="1"/>
      <c r="F886" s="1"/>
      <c r="G886" s="1"/>
      <c r="H886" s="1"/>
      <c r="I886" s="1"/>
      <c r="J886" s="1"/>
      <c r="K886" s="1"/>
      <c r="R886" s="1"/>
      <c r="S886" s="1"/>
      <c r="T886" s="1"/>
    </row>
    <row r="887" ht="15.0" customHeight="1">
      <c r="C887" s="1"/>
      <c r="D887" s="1"/>
      <c r="E887" s="1"/>
      <c r="F887" s="1"/>
      <c r="G887" s="1"/>
      <c r="H887" s="1"/>
      <c r="I887" s="1"/>
      <c r="J887" s="1"/>
      <c r="K887" s="1"/>
      <c r="R887" s="1"/>
      <c r="S887" s="1"/>
      <c r="T887" s="1"/>
    </row>
    <row r="888" ht="15.0" customHeight="1">
      <c r="C888" s="1"/>
      <c r="D888" s="1"/>
      <c r="E888" s="1"/>
      <c r="F888" s="1"/>
      <c r="G888" s="1"/>
      <c r="H888" s="1"/>
      <c r="I888" s="1"/>
      <c r="J888" s="1"/>
      <c r="K888" s="1"/>
      <c r="R888" s="1"/>
      <c r="S888" s="1"/>
      <c r="T888" s="1"/>
    </row>
    <row r="889" ht="15.0" customHeight="1">
      <c r="C889" s="1"/>
      <c r="D889" s="1"/>
      <c r="E889" s="1"/>
      <c r="F889" s="1"/>
      <c r="G889" s="1"/>
      <c r="H889" s="1"/>
      <c r="I889" s="1"/>
      <c r="J889" s="1"/>
      <c r="K889" s="1"/>
      <c r="R889" s="1"/>
      <c r="S889" s="1"/>
      <c r="T889" s="1"/>
    </row>
    <row r="890" ht="15.0" customHeight="1">
      <c r="C890" s="1"/>
      <c r="D890" s="1"/>
      <c r="E890" s="1"/>
      <c r="F890" s="1"/>
      <c r="G890" s="1"/>
      <c r="H890" s="1"/>
      <c r="I890" s="1"/>
      <c r="J890" s="1"/>
      <c r="K890" s="1"/>
      <c r="R890" s="1"/>
      <c r="S890" s="1"/>
      <c r="T890" s="1"/>
    </row>
    <row r="891" ht="15.0" customHeight="1">
      <c r="C891" s="1"/>
      <c r="D891" s="1"/>
      <c r="E891" s="1"/>
      <c r="F891" s="1"/>
      <c r="G891" s="1"/>
      <c r="H891" s="1"/>
      <c r="I891" s="1"/>
      <c r="J891" s="1"/>
      <c r="K891" s="1"/>
      <c r="R891" s="1"/>
      <c r="S891" s="1"/>
      <c r="T891" s="1"/>
    </row>
    <row r="892" ht="15.0" customHeight="1">
      <c r="C892" s="1"/>
      <c r="D892" s="1"/>
      <c r="E892" s="1"/>
      <c r="F892" s="1"/>
      <c r="G892" s="1"/>
      <c r="H892" s="1"/>
      <c r="I892" s="1"/>
      <c r="J892" s="1"/>
      <c r="K892" s="1"/>
      <c r="R892" s="1"/>
      <c r="S892" s="1"/>
      <c r="T892" s="1"/>
    </row>
    <row r="893" ht="15.0" customHeight="1">
      <c r="C893" s="1"/>
      <c r="D893" s="1"/>
      <c r="E893" s="1"/>
      <c r="F893" s="1"/>
      <c r="G893" s="1"/>
      <c r="H893" s="1"/>
      <c r="I893" s="1"/>
      <c r="J893" s="1"/>
      <c r="K893" s="1"/>
      <c r="R893" s="1"/>
      <c r="S893" s="1"/>
      <c r="T893" s="1"/>
    </row>
    <row r="894" ht="15.0" customHeight="1">
      <c r="C894" s="1"/>
      <c r="D894" s="1"/>
      <c r="E894" s="1"/>
      <c r="F894" s="1"/>
      <c r="G894" s="1"/>
      <c r="H894" s="1"/>
      <c r="I894" s="1"/>
      <c r="J894" s="1"/>
      <c r="K894" s="1"/>
      <c r="R894" s="1"/>
      <c r="S894" s="1"/>
      <c r="T894" s="1"/>
    </row>
    <row r="895" ht="15.0" customHeight="1">
      <c r="C895" s="1"/>
      <c r="D895" s="1"/>
      <c r="E895" s="1"/>
      <c r="F895" s="1"/>
      <c r="G895" s="1"/>
      <c r="H895" s="1"/>
      <c r="I895" s="1"/>
      <c r="J895" s="1"/>
      <c r="K895" s="1"/>
      <c r="R895" s="1"/>
      <c r="S895" s="1"/>
      <c r="T895" s="1"/>
    </row>
    <row r="896" ht="15.0" customHeight="1">
      <c r="C896" s="1"/>
      <c r="D896" s="1"/>
      <c r="E896" s="1"/>
      <c r="F896" s="1"/>
      <c r="G896" s="1"/>
      <c r="H896" s="1"/>
      <c r="I896" s="1"/>
      <c r="J896" s="1"/>
      <c r="K896" s="1"/>
      <c r="R896" s="1"/>
      <c r="S896" s="1"/>
      <c r="T896" s="1"/>
    </row>
    <row r="897" ht="15.0" customHeight="1">
      <c r="C897" s="1"/>
      <c r="D897" s="1"/>
      <c r="E897" s="1"/>
      <c r="F897" s="1"/>
      <c r="G897" s="1"/>
      <c r="H897" s="1"/>
      <c r="I897" s="1"/>
      <c r="J897" s="1"/>
      <c r="K897" s="1"/>
      <c r="R897" s="1"/>
      <c r="S897" s="1"/>
      <c r="T897" s="1"/>
    </row>
    <row r="898" ht="15.0" customHeight="1">
      <c r="C898" s="1"/>
      <c r="R898" s="1"/>
      <c r="S898" s="1"/>
      <c r="T898" s="1"/>
    </row>
    <row r="899" ht="15.0" customHeight="1">
      <c r="C899" s="1"/>
      <c r="R899" s="1"/>
      <c r="S899" s="1"/>
      <c r="T899" s="1"/>
    </row>
    <row r="900" ht="15.0" customHeight="1">
      <c r="C900" s="1"/>
      <c r="R900" s="1"/>
      <c r="S900" s="1"/>
      <c r="T900" s="1"/>
    </row>
    <row r="901" ht="15.0" customHeight="1">
      <c r="C901" s="1"/>
      <c r="R901" s="1"/>
      <c r="S901" s="1"/>
      <c r="T901" s="1"/>
    </row>
    <row r="902" ht="15.0" customHeight="1">
      <c r="C902" s="1"/>
      <c r="R902" s="1"/>
      <c r="S902" s="1"/>
      <c r="T902" s="1"/>
    </row>
    <row r="903" ht="15.0" customHeight="1">
      <c r="C903" s="1"/>
      <c r="R903" s="1"/>
      <c r="S903" s="1"/>
      <c r="T903" s="1"/>
    </row>
    <row r="904" ht="15.0" customHeight="1">
      <c r="C904" s="1"/>
      <c r="R904" s="1"/>
      <c r="S904" s="1"/>
      <c r="T904" s="1"/>
    </row>
    <row r="905" ht="15.0" customHeight="1">
      <c r="C905" s="1"/>
      <c r="R905" s="1"/>
      <c r="S905" s="1"/>
      <c r="T905" s="1"/>
    </row>
    <row r="906" ht="15.0" customHeight="1">
      <c r="C906" s="1"/>
      <c r="R906" s="1"/>
      <c r="S906" s="1"/>
      <c r="T906" s="1"/>
    </row>
    <row r="907" ht="15.0" customHeight="1">
      <c r="C907" s="1"/>
      <c r="R907" s="1"/>
      <c r="S907" s="1"/>
      <c r="T907" s="1"/>
    </row>
    <row r="908" ht="15.0" customHeight="1">
      <c r="C908" s="1"/>
      <c r="R908" s="1"/>
      <c r="S908" s="1"/>
      <c r="T908" s="1"/>
    </row>
    <row r="909" ht="15.0" customHeight="1">
      <c r="C909" s="1"/>
      <c r="R909" s="1"/>
      <c r="S909" s="1"/>
      <c r="T909" s="1"/>
    </row>
    <row r="910" ht="15.0" customHeight="1">
      <c r="C910" s="1"/>
      <c r="R910" s="1"/>
      <c r="S910" s="1"/>
      <c r="T910" s="1"/>
    </row>
    <row r="911" ht="15.0" customHeight="1">
      <c r="C911" s="1"/>
      <c r="R911" s="1"/>
      <c r="S911" s="1"/>
      <c r="T911" s="1"/>
    </row>
    <row r="912" ht="15.0" customHeight="1">
      <c r="C912" s="1"/>
      <c r="R912" s="1"/>
      <c r="S912" s="1"/>
      <c r="T912" s="1"/>
    </row>
    <row r="913" ht="15.0" customHeight="1">
      <c r="C913" s="1"/>
      <c r="R913" s="1"/>
      <c r="S913" s="1"/>
      <c r="T913" s="1"/>
    </row>
  </sheetData>
  <mergeCells count="3">
    <mergeCell ref="E6:L6"/>
    <mergeCell ref="M6:Q6"/>
    <mergeCell ref="R16:R17"/>
  </mergeCells>
  <hyperlinks>
    <hyperlink r:id="rId1" ref="C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2023-10-11T11:42:00Z</dcterms:created>
  <dc:creator>Cole Glomski</dc:creator>
</cp:coreProperties>
</file>